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retender-my.sharepoint.com/personal/darren_retender_com_au/Documents/Documents/APRA/"/>
    </mc:Choice>
  </mc:AlternateContent>
  <xr:revisionPtr revIDLastSave="3" documentId="8_{7FA3AFFA-BF0D-4C0F-B0C2-F1D594215701}" xr6:coauthVersionLast="47" xr6:coauthVersionMax="47" xr10:uidLastSave="{A1D02E31-D8C3-41A2-963B-AE218E3E7477}"/>
  <bookViews>
    <workbookView xWindow="10575" yWindow="-16320" windowWidth="29040" windowHeight="15720" xr2:uid="{00000000-000D-0000-FFFF-FFFF00000000}"/>
  </bookViews>
  <sheets>
    <sheet name="Summary" sheetId="3" r:id="rId1"/>
    <sheet name="Processes" sheetId="4"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63" i="3" l="1"/>
  <c r="G63" i="3"/>
  <c r="F63" i="3"/>
  <c r="E63" i="3"/>
  <c r="J62" i="3"/>
  <c r="F62" i="3"/>
  <c r="D62" i="3"/>
  <c r="J61" i="3"/>
  <c r="I61" i="3"/>
  <c r="G61" i="3"/>
  <c r="D61" i="3"/>
  <c r="J60" i="3"/>
  <c r="I60" i="3"/>
  <c r="G60" i="3"/>
  <c r="E60" i="3"/>
  <c r="D60" i="3"/>
  <c r="J58" i="3"/>
  <c r="D58" i="3"/>
  <c r="J57" i="3"/>
  <c r="F57" i="3"/>
  <c r="D57" i="3"/>
  <c r="J56" i="3"/>
  <c r="G56" i="3"/>
  <c r="F56" i="3"/>
  <c r="E56" i="3"/>
  <c r="D56" i="3"/>
  <c r="J55" i="3"/>
  <c r="F55" i="3"/>
  <c r="D55" i="3"/>
  <c r="J54" i="3"/>
  <c r="G54" i="3"/>
  <c r="F54" i="3"/>
  <c r="D54" i="3"/>
  <c r="J53" i="3"/>
  <c r="F53" i="3"/>
  <c r="D53" i="3"/>
  <c r="J52" i="3"/>
  <c r="F52" i="3"/>
  <c r="E52" i="3"/>
  <c r="D52" i="3"/>
  <c r="J51" i="3"/>
  <c r="I51" i="3"/>
  <c r="H51" i="3"/>
  <c r="F51" i="3"/>
  <c r="D51" i="3"/>
  <c r="J50" i="3"/>
  <c r="I50" i="3"/>
  <c r="G50" i="3"/>
  <c r="F50" i="3"/>
  <c r="D50" i="3"/>
  <c r="J49" i="3"/>
  <c r="G49" i="3"/>
  <c r="F49" i="3"/>
  <c r="J48" i="3"/>
  <c r="G48" i="3"/>
  <c r="F48" i="3"/>
  <c r="D48" i="3"/>
  <c r="J47" i="3"/>
  <c r="H47" i="3"/>
  <c r="G47" i="3"/>
  <c r="F47" i="3"/>
  <c r="J46" i="3"/>
  <c r="G46" i="3"/>
  <c r="F46" i="3"/>
  <c r="D46" i="3"/>
  <c r="J45" i="3"/>
  <c r="F45" i="3"/>
  <c r="J44" i="3"/>
  <c r="F44" i="3"/>
  <c r="E44" i="3"/>
  <c r="J43" i="3"/>
  <c r="F43" i="3"/>
  <c r="D43" i="3"/>
  <c r="J42" i="3"/>
  <c r="F42" i="3"/>
  <c r="D42" i="3"/>
  <c r="J41" i="3"/>
  <c r="F41" i="3"/>
  <c r="J40" i="3"/>
  <c r="F40" i="3"/>
  <c r="E40" i="3"/>
  <c r="D40" i="3"/>
  <c r="J39" i="3"/>
  <c r="G39" i="3"/>
  <c r="F39" i="3"/>
  <c r="J38" i="3"/>
  <c r="G38" i="3"/>
  <c r="D38" i="3"/>
  <c r="J37" i="3"/>
  <c r="F37" i="3"/>
  <c r="J36" i="3"/>
  <c r="E36" i="3"/>
  <c r="D36" i="3"/>
  <c r="J35" i="3"/>
  <c r="D35" i="3"/>
  <c r="J34" i="3"/>
  <c r="E34" i="3"/>
  <c r="D34" i="3"/>
  <c r="J33" i="3"/>
  <c r="D33" i="3"/>
  <c r="J32" i="3"/>
  <c r="H32" i="3"/>
  <c r="G32" i="3"/>
  <c r="F32" i="3"/>
  <c r="J31" i="3"/>
  <c r="D31" i="3"/>
  <c r="J30" i="3"/>
  <c r="D30" i="3"/>
  <c r="J29" i="3"/>
  <c r="E29" i="3"/>
  <c r="D29" i="3"/>
  <c r="J28" i="3"/>
  <c r="F28" i="3"/>
  <c r="D28" i="3"/>
  <c r="J27" i="3"/>
  <c r="I27" i="3"/>
  <c r="F27" i="3"/>
  <c r="D27" i="3"/>
  <c r="J26" i="3"/>
  <c r="G26" i="3"/>
  <c r="F26" i="3"/>
  <c r="J25" i="3"/>
  <c r="F25" i="3"/>
  <c r="D25" i="3"/>
  <c r="J24" i="3"/>
  <c r="I24" i="3"/>
  <c r="G24" i="3"/>
  <c r="D24" i="3"/>
  <c r="J23" i="3"/>
  <c r="G23" i="3"/>
  <c r="E23" i="3"/>
  <c r="D23" i="3"/>
  <c r="J22" i="3"/>
  <c r="G22" i="3"/>
  <c r="D22" i="3"/>
  <c r="J21" i="3"/>
  <c r="D21" i="3"/>
  <c r="J20" i="3"/>
  <c r="G20" i="3"/>
  <c r="D20" i="3"/>
  <c r="J19" i="3"/>
  <c r="F19" i="3"/>
  <c r="D19" i="3"/>
  <c r="J18" i="3"/>
  <c r="I18" i="3"/>
  <c r="H18" i="3"/>
  <c r="D18" i="3"/>
  <c r="J17" i="3"/>
  <c r="I17" i="3"/>
  <c r="G17" i="3"/>
  <c r="J16" i="3"/>
  <c r="G16" i="3"/>
  <c r="D16" i="3"/>
  <c r="J15" i="3"/>
  <c r="D15" i="3"/>
  <c r="J14" i="3"/>
  <c r="H14" i="3"/>
  <c r="G14" i="3"/>
  <c r="D14" i="3"/>
  <c r="G13" i="3"/>
  <c r="D13" i="3"/>
  <c r="D12" i="3"/>
  <c r="J11" i="3"/>
  <c r="I11" i="3"/>
  <c r="D11" i="3"/>
  <c r="J10" i="3"/>
  <c r="G10" i="3"/>
  <c r="E10" i="3"/>
  <c r="D10" i="3"/>
  <c r="J9" i="3"/>
  <c r="I9" i="3"/>
  <c r="H9" i="3"/>
  <c r="G9" i="3"/>
  <c r="D9" i="3"/>
  <c r="F8" i="3"/>
  <c r="D8" i="3"/>
  <c r="J7" i="3"/>
  <c r="F7" i="3"/>
  <c r="D7" i="3"/>
  <c r="J6" i="3"/>
  <c r="G6" i="3"/>
  <c r="E6" i="3"/>
  <c r="D6" i="3"/>
  <c r="J5" i="3"/>
  <c r="D5" i="3"/>
</calcChain>
</file>

<file path=xl/sharedStrings.xml><?xml version="1.0" encoding="utf-8"?>
<sst xmlns="http://schemas.openxmlformats.org/spreadsheetml/2006/main" count="1893" uniqueCount="1571">
  <si>
    <t>Workflow</t>
  </si>
  <si>
    <t>Function</t>
  </si>
  <si>
    <t>Gate</t>
  </si>
  <si>
    <t>Area</t>
  </si>
  <si>
    <t>Entry form</t>
  </si>
  <si>
    <t>Dashboard</t>
  </si>
  <si>
    <t>Document</t>
  </si>
  <si>
    <t>Report / return</t>
  </si>
  <si>
    <t>Operational resilience</t>
  </si>
  <si>
    <t>Incident, breach and issue</t>
  </si>
  <si>
    <t>n/a</t>
  </si>
  <si>
    <t>Data governance</t>
  </si>
  <si>
    <t>Compliance and obligations</t>
  </si>
  <si>
    <t>Conflicts and related party</t>
  </si>
  <si>
    <t>People, fitness and accountability</t>
  </si>
  <si>
    <t>Delegations and Board</t>
  </si>
  <si>
    <t>AI governance</t>
  </si>
  <si>
    <t>Internal audit</t>
  </si>
  <si>
    <t>Information security</t>
  </si>
  <si>
    <t>Privacy</t>
  </si>
  <si>
    <t>Financial crime</t>
  </si>
  <si>
    <t>Risk management</t>
  </si>
  <si>
    <t>Product and pricing</t>
  </si>
  <si>
    <t>Distribution and adviser</t>
  </si>
  <si>
    <t>Actuarial and capital</t>
  </si>
  <si>
    <t>Reinsurance</t>
  </si>
  <si>
    <t>Finance operations</t>
  </si>
  <si>
    <t>Investment management</t>
  </si>
  <si>
    <t>Regulatory and financial reporting</t>
  </si>
  <si>
    <t>Core business operations</t>
  </si>
  <si>
    <t>Infrastructure and platform</t>
  </si>
  <si>
    <t>Document suite</t>
  </si>
  <si>
    <t>Programme activities</t>
  </si>
  <si>
    <t>Process map: does each subject have every stage of its life?</t>
  </si>
  <si>
    <t>Subjects down the side, lifecycle stages across the top. A third cut: the Matrix asks whether an area has a dashboard, this asks whether a subject has a Failure process. Every cell is one of five things and they look different on purpose. A named process links to its row on the Processes sheet. An arrow means covered, by a process another area or another row owns. Trigger means covered, as a trigger on another row rather than a process of its own. n/a means deliberately not needed, with the reason. GAP means needed and nothing covers it. The Owner of a subject is accountable for every process in that row having an owner, and each process owner is accountable for everything in that process existing and working as intended. Owners here are suggestions. An amber owner is an escalation: the natural owner does not exist yet, so accountability sits higher until the role is filled, and is recorded that way so that it moves when the role is filled rather than staying put by default.</t>
  </si>
  <si>
    <t>Subject</t>
  </si>
  <si>
    <t>Owner</t>
  </si>
  <si>
    <t>Create / Change</t>
  </si>
  <si>
    <t>Exit</t>
  </si>
  <si>
    <t>Run</t>
  </si>
  <si>
    <t>Periodic Test / Review / Refresh</t>
  </si>
  <si>
    <t>Failure</t>
  </si>
  <si>
    <t>Fix</t>
  </si>
  <si>
    <t>Report</t>
  </si>
  <si>
    <t>Roles</t>
  </si>
  <si>
    <t>CEO</t>
  </si>
  <si>
    <t>GAP: Abolishing or merging a role. Touches the accountability statement, the twin and the obligations that pointed at it.</t>
  </si>
  <si>
    <t>n/a: A role is a definition. It does not run.</t>
  </si>
  <si>
    <t>GAP: Re-examining a role: still needed, still correctly scoped, still a responsible-person or accountable-person role.</t>
  </si>
  <si>
    <t>n/a: A role cannot fail. The holder's fitness can, which is the row below.</t>
  </si>
  <si>
    <t>n/a: Nothing to remediate at the level of a definition.</t>
  </si>
  <si>
    <t>People</t>
  </si>
  <si>
    <t>CEO (escalated: would be Chief People Officer)</t>
  </si>
  <si>
    <t>n/a: Covered by the role the person holds rather than by the person.</t>
  </si>
  <si>
    <t>-&gt; Departure and offboarding. A fail outcome on reassessment routes there rather than being handled separately.</t>
  </si>
  <si>
    <t>n/a: A person who ceases to be fit is not remediated in place.</t>
  </si>
  <si>
    <t>Remuneration</t>
  </si>
  <si>
    <t>-&gt; Departure and offboarding, which settles the deferral treatment.</t>
  </si>
  <si>
    <t>Trigger: The annual cadence is the trigger on Remuneration review rather than a separate cycle.</t>
  </si>
  <si>
    <t>-&gt; Incident, breach and issue. A substantiated breach opens the malus question, which runs inside Remuneration review.</t>
  </si>
  <si>
    <t>Trigger: Malus and clawback is a workflow inside Remuneration review.</t>
  </si>
  <si>
    <t>Training</t>
  </si>
  <si>
    <t>GAP: Retiring a requirement when the obligation behind it goes, and what happens to the completion history that evidenced it.</t>
  </si>
  <si>
    <t>Trigger: The cadence per requirement and the content refresh are cron triggers on the rows above.</t>
  </si>
  <si>
    <t>Trigger: Non-completion escalation is a step inside the issuance workflow.</t>
  </si>
  <si>
    <t>n/a: Non-completion is chased rather than remediated.</t>
  </si>
  <si>
    <t>-&gt; Regular reporting for the People area.</t>
  </si>
  <si>
    <t>Critical operation</t>
  </si>
  <si>
    <t>COO</t>
  </si>
  <si>
    <t>GAP: An operation ceasing to be critical, and what happens to its tolerances, plans and test history.</t>
  </si>
  <si>
    <t>n/a: An operation runs continuously as the business. There is no process to start it.</t>
  </si>
  <si>
    <t>Provider</t>
  </si>
  <si>
    <t>n/a: The provider delivers the service. There is nothing for the Company to run.</t>
  </si>
  <si>
    <t>-&gt; Incident, breach and issue for the record, and to Responding to a disruption where a critical operation is engaged. A forced exit runs alongside.</t>
  </si>
  <si>
    <t>-&gt; Closing a resilience gap, which is the same closure shape.</t>
  </si>
  <si>
    <t>Issue</t>
  </si>
  <si>
    <t>CRO</t>
  </si>
  <si>
    <t>n/a: An issue closes rather than exits, which is the Fix stage.</t>
  </si>
  <si>
    <t>n/a: An issue is an event, not something that runs.</t>
  </si>
  <si>
    <t>Trigger: The sixty-day investigation trigger is a cron trigger on Investigating it.</t>
  </si>
  <si>
    <t>n/a: The issue is itself the failure. Nothing sits behind it.</t>
  </si>
  <si>
    <t>Instrument</t>
  </si>
  <si>
    <t>GAP: An instrument repealed, replaced, or ceasing to apply, and what happens to the obligations drafted from it.</t>
  </si>
  <si>
    <t>n/a: An instrument is a source, not an operation.</t>
  </si>
  <si>
    <t>Trigger: The annual sweep of the regulatory environment is a cron trigger on Identifying a source instrument.</t>
  </si>
  <si>
    <t>n/a: An instrument cannot fail. Failing to identify one is a compliance failure, recorded against the obligation.</t>
  </si>
  <si>
    <t>n/a: Nothing to remediate at the level of a source.</t>
  </si>
  <si>
    <t>-&gt; Regular reporting for this area, which covers all three subjects.</t>
  </si>
  <si>
    <t>Obligation</t>
  </si>
  <si>
    <t>-&gt; the instrument exit above, since obligations retire with the instrument that created them.</t>
  </si>
  <si>
    <t>n/a: An obligation is discharged by a control rather than run.</t>
  </si>
  <si>
    <t>-&gt; Recording a control failure, and to Incident, breach and issue where a regime engages. An obligation fails through the control that discharges it.</t>
  </si>
  <si>
    <t>-&gt; Remediating and closing in the incident area, which is the same closure shape.</t>
  </si>
  <si>
    <t>-&gt; Regular reporting for this area.</t>
  </si>
  <si>
    <t>Control</t>
  </si>
  <si>
    <t>CRO, with a first-line owner per domain</t>
  </si>
  <si>
    <t>GAP: Retiring a control, and confirming what discharges the obligations it was carrying before it goes.</t>
  </si>
  <si>
    <t>Trigger: A control operates at its own frequency, held on the control record rather than as a process here.</t>
  </si>
  <si>
    <t>-&gt; Remediating and closing in the incident area.</t>
  </si>
  <si>
    <t>Information asset</t>
  </si>
  <si>
    <t>GAP: Decommissioning an asset: data destruction or return, access revocation, and removal from the inventory. A classic control failure point and nothing covers it.</t>
  </si>
  <si>
    <t>n/a: The asset is operated by the systems that use it.</t>
  </si>
  <si>
    <t>Trigger: Reclassification review is a cron trigger on Classifying an information asset.</t>
  </si>
  <si>
    <t>-&gt; Responding to a security incident, and to the incident store for the record.</t>
  </si>
  <si>
    <t>Access</t>
  </si>
  <si>
    <t>Trigger: Revocation is the third transition on the row above rather than a process of its own, and it is fired by Departure and offboarding.</t>
  </si>
  <si>
    <t>n/a: Access is a state, not an operation.</t>
  </si>
  <si>
    <t>-&gt; Responding to a security incident. Unauthorised access is a security event.</t>
  </si>
  <si>
    <t>Security incident</t>
  </si>
  <si>
    <t>COO, with the record owned by the CRO</t>
  </si>
  <si>
    <t>-&gt; Reporting or detecting an issue. Capture is the incident area's, through the four-button entry page.</t>
  </si>
  <si>
    <t>n/a: An incident closes rather than exits.</t>
  </si>
  <si>
    <t>n/a: An incident is an event.</t>
  </si>
  <si>
    <t>n/a: The incident is itself the failure.</t>
  </si>
  <si>
    <t>Data item</t>
  </si>
  <si>
    <t>COO, with an accountable executive per domain</t>
  </si>
  <si>
    <t>GAP: Retiring a data item, and what happens to the rules, reports and decisions that referenced it.</t>
  </si>
  <si>
    <t>n/a: A definition does not run.</t>
  </si>
  <si>
    <t>Trigger: The periodic review of definitions against what the systems hold is a cron trigger on Defining or changing a data item.</t>
  </si>
  <si>
    <t>Data quality rule</t>
  </si>
  <si>
    <t>GAP: Retiring a rule, and whether the domain is left with no test of that kind.</t>
  </si>
  <si>
    <t>GAP: Reviewing whether the thresholds are still right. A threshold nobody revisits either never fires or always fires.</t>
  </si>
  <si>
    <t>n/a: A rule does not fail. It detects failure, which is the Failure stage on the row above.</t>
  </si>
  <si>
    <t>-&gt; Resolving a data quality issue.</t>
  </si>
  <si>
    <t>End-user computing tool</t>
  </si>
  <si>
    <t>GAP: Retiring a tool, which is the good outcome when the platform takes over its job, and worth recording as evidence that the inventory is shrinking rather than growing.</t>
  </si>
  <si>
    <t>n/a: The tool is run by its owner outside the platform, which is the point of inventorying it.</t>
  </si>
  <si>
    <t>-&gt; Running the rules and raising issues where the tool feeds a tested item; otherwise to the incident area.</t>
  </si>
  <si>
    <t>De-identification method</t>
  </si>
  <si>
    <t>n/a: A method is superseded by confirming a different one for the use.</t>
  </si>
  <si>
    <t>Trigger: The method is applied by the process that uses the data, not run from here.</t>
  </si>
  <si>
    <t>GAP: Re-confirming a method still fit for a use it was approved for. Re-identification risk rises as other data becomes available, so a confirmation does not stay true.</t>
  </si>
  <si>
    <t>-&gt; Responding to a security incident, and to Privacy for a notifiable data breach.</t>
  </si>
  <si>
    <t>Conflict</t>
  </si>
  <si>
    <t>CRO, or the Chair where a director is involved</t>
  </si>
  <si>
    <t>Trigger: Cessation is an outcome on Reviewing a conflict rather than a process of its own.</t>
  </si>
  <si>
    <t>n/a: A conflict is a state that is managed, not an operation that runs.</t>
  </si>
  <si>
    <t>-&gt; Incident, breach and issue, where a conflict was not disclosed or the agreed response was not followed.</t>
  </si>
  <si>
    <t>Related-party arrangement</t>
  </si>
  <si>
    <t>Company Secretary, approved by the unaffiliated directors</t>
  </si>
  <si>
    <t>n/a: The arrangement operates as the commercial relationship. There is nothing to run from here.</t>
  </si>
  <si>
    <t>-&gt; Incident, breach and issue, where an arrangement operated outside its approved terms.</t>
  </si>
  <si>
    <t>Risk</t>
  </si>
  <si>
    <t>Trigger: Closure with a reason is an outcome on Reviewing a risk.</t>
  </si>
  <si>
    <t>n/a: A risk is a state that is managed, not an operation.</t>
  </si>
  <si>
    <t>-&gt; Incident, breach and issue. A risk materialising is an event, recorded there.</t>
  </si>
  <si>
    <t>Delegation</t>
  </si>
  <si>
    <t>Company Secretary</t>
  </si>
  <si>
    <t>GAP: Revoking a delegation, and confirming nothing still relies on it.</t>
  </si>
  <si>
    <t>Trigger: The periodic review of limits is a cron trigger on the create row.</t>
  </si>
  <si>
    <t>-&gt; Incident, breach and issue, where an authority was exercised outside its limit.</t>
  </si>
  <si>
    <t>Board and committee cycle</t>
  </si>
  <si>
    <t>GAP: Establishing or changing a committee: its charter, membership and standing items.</t>
  </si>
  <si>
    <t>n/a: A committee is dissolved by the Board rather than through a process of its own.</t>
  </si>
  <si>
    <t>n/a: A cycle that does not run is visible on the dashboard rather than raised as a failure.</t>
  </si>
  <si>
    <t>n/a: Nothing to remediate.</t>
  </si>
  <si>
    <t>Audit engagement</t>
  </si>
  <si>
    <t>Head of Internal Audit (outsourced: escalates to the Audit Committee Chair)</t>
  </si>
  <si>
    <t>n/a: An engagement completes rather than exits.</t>
  </si>
  <si>
    <t>Trigger: The annual plan and the three-year rolling coverage are cron triggers on the planning row.</t>
  </si>
  <si>
    <t>n/a: An engagement that does not run shows as coverage missed on the dashboard.</t>
  </si>
  <si>
    <t>AI use case</t>
  </si>
  <si>
    <t>CTO, with the CRO for the determination</t>
  </si>
  <si>
    <t>GAP: Retiring a model or use case, and what happens to the decisions it made and the disclosures that referenced it.</t>
  </si>
  <si>
    <t>Trigger: Periodic revalidation is a cron trigger on the change row.</t>
  </si>
  <si>
    <t>-&gt; Responding to a security incident for an AI system operating outside its function, and to Incident, breach and issue for a wrong decision.</t>
  </si>
  <si>
    <t>Personal information holding</t>
  </si>
  <si>
    <t>n/a: A holding is a state rather than an operation.</t>
  </si>
  <si>
    <t>Trigger: The periodic confirmation against what systems hold is a cron trigger on the create row.</t>
  </si>
  <si>
    <t>-&gt; Incident, breach and issue, and the notifiable data breach path.</t>
  </si>
  <si>
    <t>Privacy impact assessment</t>
  </si>
  <si>
    <t>n/a: An assessment completes rather than exits.</t>
  </si>
  <si>
    <t>n/a: An assessment is an event.</t>
  </si>
  <si>
    <t>GAP: Re-assessing where a project changed after its assessment. An assessment describes a design, and designs move.</t>
  </si>
  <si>
    <t>n/a: The finding is the failure, and it goes to closure.</t>
  </si>
  <si>
    <t>Data subject request</t>
  </si>
  <si>
    <t>n/a: A request is answered rather than exited.</t>
  </si>
  <si>
    <t>n/a: A request is an event.</t>
  </si>
  <si>
    <t>n/a: Nothing recurs per request.</t>
  </si>
  <si>
    <t>-&gt; Incident, breach and issue, where a statutory deadline is missed.</t>
  </si>
  <si>
    <t>Screening</t>
  </si>
  <si>
    <t>CUO</t>
  </si>
  <si>
    <t>Trigger: Screening is a step inside onboarding and claims rather than a process started here.</t>
  </si>
  <si>
    <t>n/a: A screening record is retained rather than exited.</t>
  </si>
  <si>
    <t>-&gt; Remediating and closing in the incident area, where an alert engages a reporting obligation.</t>
  </si>
  <si>
    <t>AML/CTF regime applicability</t>
  </si>
  <si>
    <t>n/a: The analysis is superseded rather than retired.</t>
  </si>
  <si>
    <t>n/a: An analysis is a conclusion, not an operation.</t>
  </si>
  <si>
    <t>Trigger: The annual review and the roadmap-change trigger sit on the row above.</t>
  </si>
  <si>
    <t>GAP: What happens when the conclusion flips: the program that has to exist before an investment-linked or annuity product launches, and how long that takes.</t>
  </si>
  <si>
    <t>Product</t>
  </si>
  <si>
    <t>n/a: A product is administered through the policy lifecycle in core business operations.</t>
  </si>
  <si>
    <t>Trigger: The periodic pricing review is a cron trigger on Repricing.</t>
  </si>
  <si>
    <t>-&gt; Incident, breach and issue, where a product operated outside its terms or a disclosure was wrong.</t>
  </si>
  <si>
    <t>-&gt; Remediating and closing, and customer remediation where policyholders were affected.</t>
  </si>
  <si>
    <t>Rating basis</t>
  </si>
  <si>
    <t>CUO, on the Appointed Actuary's advice</t>
  </si>
  <si>
    <t>Trigger: A rating table is superseded by an effective-dated replacement rather than retired.</t>
  </si>
  <si>
    <t>n/a: Rates are applied by the pricing calculator inside underwriting.</t>
  </si>
  <si>
    <t>-&gt; Experience analysis in Actuarial and capital, which is what tells you the rates no longer hold.</t>
  </si>
  <si>
    <t>GAP: Rates found to be wrong after policies were written on them: identifying the affected cohort and deciding whether to reprice, remediate or absorb.</t>
  </si>
  <si>
    <t>-&gt; Customer remediation in the incident area.</t>
  </si>
  <si>
    <t>Adviser</t>
  </si>
  <si>
    <t>n/a: The adviser writes business through the portal; there is nothing to run from here.</t>
  </si>
  <si>
    <t>Trigger: Authorisation re-verification is a cron trigger on the onboarding row.</t>
  </si>
  <si>
    <t>-&gt; Incident, breach and issue, where an adviser wrote business without a current authorisation or advised unsuitably.</t>
  </si>
  <si>
    <t>Commission</t>
  </si>
  <si>
    <t>CFO</t>
  </si>
  <si>
    <t>Trigger: The scale is set at adviser onboarding and at product definition.</t>
  </si>
  <si>
    <t>n/a: A commission arrangement ends with the adviser.</t>
  </si>
  <si>
    <t>GAP: Confirming paid commission matches the scale and the policy. A commission run nobody reconciles is a leakage nobody sees.</t>
  </si>
  <si>
    <t>-&gt; Incident, breach and issue for an overpayment or a LIF breach.</t>
  </si>
  <si>
    <t>-&gt; Remediating and closing.</t>
  </si>
  <si>
    <t>Assumption set</t>
  </si>
  <si>
    <t>Appointed Actuary (vacant: escalates to the CFO)</t>
  </si>
  <si>
    <t>Trigger: An assumption is superseded by a versioned replacement rather than retired.</t>
  </si>
  <si>
    <t>-&gt; Running a valuation, which is what consumes the assumption set.</t>
  </si>
  <si>
    <t>GAP: An assumption found wrong after a valuation was signed on it: restating, and what that means for a return already lodged.</t>
  </si>
  <si>
    <t>Capital position</t>
  </si>
  <si>
    <t>-&gt; the business plan and the ICAAP set the target; this is not created per period.</t>
  </si>
  <si>
    <t>n/a: A capital position does not retire.</t>
  </si>
  <si>
    <t>-&gt; the Recovery and Exit Plan at ACT-2, and to Incident, breach and issue for the prudential notification.</t>
  </si>
  <si>
    <t>-&gt; the recovery actions in ACT-2, tracked through the closure shape.</t>
  </si>
  <si>
    <t>Treaty</t>
  </si>
  <si>
    <t>CFO, negotiated by the CEO per the FAR exclusions</t>
  </si>
  <si>
    <t>Trigger: Renewal is a trigger on the placing row.</t>
  </si>
  <si>
    <t>-&gt; Incident, breach and issue, where a cession was not made or a treaty lapsed uncovered.</t>
  </si>
  <si>
    <t>Counterparty</t>
  </si>
  <si>
    <t>Trigger: A counterparty arrives with a treaty and is also onboarded as a material service provider.</t>
  </si>
  <si>
    <t>-&gt; Exiting a provider in operational resilience, and Ending or replacing a treaty here.</t>
  </si>
  <si>
    <t>-&gt; Monitoring a provider in operational resilience.</t>
  </si>
  <si>
    <t>GAP: A reinsurer failing or disputing: what the Company does about recoveries in flight and a book priced on cover it may not have.</t>
  </si>
  <si>
    <t>-&gt; the Recovery and Exit Plan at ACT-2.</t>
  </si>
  <si>
    <t>Receipt</t>
  </si>
  <si>
    <t>Trigger: A receipt is allocated or refunded rather than retired.</t>
  </si>
  <si>
    <t>-&gt; Reconciling, which is what confirms allocation was right.</t>
  </si>
  <si>
    <t>-&gt; the failed payment workflow in core business operations, and to Incident, breach and issue where money is misallocated.</t>
  </si>
  <si>
    <t>Payment</t>
  </si>
  <si>
    <t>n/a: A payment completes or is reversed.</t>
  </si>
  <si>
    <t>-&gt; Reconciling.</t>
  </si>
  <si>
    <t>-&gt; Incident, breach and issue, where a payment was made outside a limit or in error.</t>
  </si>
  <si>
    <t>Accounting period</t>
  </si>
  <si>
    <t>n/a: A period opens on a calendar rather than being created.</t>
  </si>
  <si>
    <t>Trigger: The audit of the annual statements is a trigger on the close row.</t>
  </si>
  <si>
    <t>GAP: Reopening a closed period, and what that means for a return already lodged on it.</t>
  </si>
  <si>
    <t>Tax obligation</t>
  </si>
  <si>
    <t>Trigger: An obligation arrives with a product, a state, or an employment arrangement rather than being created here.</t>
  </si>
  <si>
    <t>n/a: A tax obligation ends when the activity behind it does.</t>
  </si>
  <si>
    <t>GAP: Confirming the obligation set is complete: which states, which duties, which thresholds. Nobody has listed them.</t>
  </si>
  <si>
    <t>-&gt; Incident, breach and issue for a late or wrong lodgement.</t>
  </si>
  <si>
    <t>Mandate</t>
  </si>
  <si>
    <t>n/a: A mandate is replaced rather than retired.</t>
  </si>
  <si>
    <t>-&gt; incident, where a limit breach is material or repeated.</t>
  </si>
  <si>
    <t>Portfolio</t>
  </si>
  <si>
    <t>Trigger: Holdings change on a trade or a cash movement rather than being created.</t>
  </si>
  <si>
    <t>n/a: The portfolio persists; individual holdings are sold.</t>
  </si>
  <si>
    <t>External manager</t>
  </si>
  <si>
    <t>-&gt; the provider exit path in Operational resilience, which is where the exit plan lives.</t>
  </si>
  <si>
    <t>-&gt; incident, and to the provider gap path in Operational resilience.</t>
  </si>
  <si>
    <t>Statutory fund attribution</t>
  </si>
  <si>
    <t>Trigger: An asset is attributed when it is acquired.</t>
  </si>
  <si>
    <t>Trigger: Attribution ends when the asset leaves the fund.</t>
  </si>
  <si>
    <t>-&gt; incident: an unattributed or misattributed asset is a Life Act s38 matter.</t>
  </si>
  <si>
    <t>Reporting obligation</t>
  </si>
  <si>
    <t>Trigger: An obligation ends when the regime or the activity behind it does.</t>
  </si>
  <si>
    <t>-&gt; incident: a missed or late lodgement is a breach.</t>
  </si>
  <si>
    <t>Return</t>
  </si>
  <si>
    <t>n/a: A return is lodged and closed rather than retired.</t>
  </si>
  <si>
    <t>Trigger: The audit and the actuarial review are triggers on the preparation row.</t>
  </si>
  <si>
    <t>Policy</t>
  </si>
  <si>
    <t>Trigger: Renewal and anniversary are triggers on the servicing row.</t>
  </si>
  <si>
    <t>-&gt; incident, where a policy was issued or altered wrongly.</t>
  </si>
  <si>
    <t>-&gt; Remediating and closing, and to customer remediation where a cohort is affected.</t>
  </si>
  <si>
    <t>Claim</t>
  </si>
  <si>
    <t>Trigger: A claim closes on payment or decline.</t>
  </si>
  <si>
    <t>GAP: Post-decision quality review of a sample of claim decisions, including AI-made ones. Nothing asserts one.</t>
  </si>
  <si>
    <t>-&gt; incident, and to Complaints where the customer disputes it.</t>
  </si>
  <si>
    <t>Complaint</t>
  </si>
  <si>
    <t>Trigger: A complaint closes on response or on AFCA determination.</t>
  </si>
  <si>
    <t>-&gt; incident, where the RG 271 timeframe is missed.</t>
  </si>
  <si>
    <t>-&gt; the issue path, where a complaint pattern is systemic.</t>
  </si>
  <si>
    <t>Customer request</t>
  </si>
  <si>
    <t>Trigger: A request closes on response.</t>
  </si>
  <si>
    <t>-&gt; Data governance, where catalogue accuracy is what makes a response possible.</t>
  </si>
  <si>
    <t>-&gt; Privacy, and to incident where the timeframe is missed.</t>
  </si>
  <si>
    <t>Environment or service</t>
  </si>
  <si>
    <t>CTO</t>
  </si>
  <si>
    <t>-&gt; incident, and to Operational resilience where a critical operation is affected.</t>
  </si>
  <si>
    <t>Change</t>
  </si>
  <si>
    <t>Trigger: A change is released, reversed or abandoned.</t>
  </si>
  <si>
    <t>Trigger: The emergency change review window is a trigger on the change row.</t>
  </si>
  <si>
    <t>-&gt; incident: a failed change is the most common cause of an availability incident.</t>
  </si>
  <si>
    <t>n/a: A function is superseded in the inventory rather than retired as a subject.</t>
  </si>
  <si>
    <t>Trigger: A function runs when a workflow task calls it.</t>
  </si>
  <si>
    <t>GAP: Confirming the inventory against the codebase. Nothing asserts one, and without it the inventory decays into an estimate again.</t>
  </si>
  <si>
    <t>-&gt; incident, where a function fails in a workflow.</t>
  </si>
  <si>
    <t>-&gt; Changing the platform.</t>
  </si>
  <si>
    <t>-&gt; Information security, where access provisioning and review live.</t>
  </si>
  <si>
    <t>-&gt; Information security, and to People for the departure trigger.</t>
  </si>
  <si>
    <t>-&gt; Information security.</t>
  </si>
  <si>
    <t>-&gt; Information security, where the access review cycle sits.</t>
  </si>
  <si>
    <t>-&gt; incident.</t>
  </si>
  <si>
    <t>-&gt; Information security reporting.</t>
  </si>
  <si>
    <t>Trigger: A document is read and cited rather than run.</t>
  </si>
  <si>
    <t>GAP: An out-of-date approved document being relied on. Nothing detects it beyond the review clock.</t>
  </si>
  <si>
    <t>Coverage of a standard</t>
  </si>
  <si>
    <t>Trigger: Coverage ends when the standard is withdrawn.</t>
  </si>
  <si>
    <t>Trigger: Coverage is asserted at approval and confirmed on the cycle.</t>
  </si>
  <si>
    <t>-&gt; Compliance and obligations, where an undischarged obligation is the same finding.</t>
  </si>
  <si>
    <t>Programme activity</t>
  </si>
  <si>
    <t>Trigger: An activity closes when its evidence is held.</t>
  </si>
  <si>
    <t>n/a: The activity is itself the test; it is not separately reviewed.</t>
  </si>
  <si>
    <t>Trigger: An activity that misses its objective raises a gap on the same row.</t>
  </si>
  <si>
    <t>-&gt; Remediating and closing, which is where every gap converges.</t>
  </si>
  <si>
    <t>n/a: The two gates are fixed by the application, not created.</t>
  </si>
  <si>
    <t>GAP: What happens if a gate is missed: no replan process is defined, and the go-live gate is conditional rather than dated.</t>
  </si>
  <si>
    <t>59 subjects x 7 stages = 413 cells: 185 covered by a process of their own, 98 covered elsewhere, 46 covered by a trigger, 57 deliberately not needed, and 27 gaps.</t>
  </si>
  <si>
    <t>By process: what one real-world event needs</t>
  </si>
  <si>
    <t>One row per real-world event, grouped by the thing the event acts on. A blue cell means the system has to provide that thing for this process, whether or not any of it is built: this sheet states what is required, not what is done. Grey means deliberately not required, and the cell says why. The blue block runs left to right from what fires the process to what comes out of it. Trigger is blue because a trigger is configuration the system has to hold: a cron schedule, or a watched location or form submission. Where a tool is required the cell carries the count, and where the count hides variation it carries the axis of variation too, because both deep dives found that 'one' was the wrong answer. These rows are a view, not register entries; the items behind them carry BR numbers on the deep dive sheets.</t>
  </si>
  <si>
    <t>Process</t>
  </si>
  <si>
    <t>Summary</t>
  </si>
  <si>
    <t>Register (stores written)</t>
  </si>
  <si>
    <t>Trigger</t>
  </si>
  <si>
    <t>Notes</t>
  </si>
  <si>
    <t>Substitutability, twinning and cross-skilling, is carried here rather than under operational resilience: the data sits on the role record, and the events that change it are appointment and departure. The resilience dashboards read it.</t>
  </si>
  <si>
    <t xml:space="preserve">   The role</t>
  </si>
  <si>
    <t>Creation of a role</t>
  </si>
  <si>
    <t>Defines the thing everything else hangs off, including whether it is a responsible-person or accountable-person role.</t>
  </si>
  <si>
    <t>People (role), Required competencies, Delegated authorities</t>
  </si>
  <si>
    <t>Input: the CEO or the Board proposes a role, or an existing role is materially changed.</t>
  </si>
  <si>
    <t>1: role definition, carrying the responsible-person and accountable-person flags and the competencies the role requires.</t>
  </si>
  <si>
    <t>1, with 2 approval paths: the Board for an accountable-person role, the CEO otherwise.</t>
  </si>
  <si>
    <t>a slice of the accountability and fitness dashboard: roles filled and vacant, and which are responsible-person or accountable-person roles.</t>
  </si>
  <si>
    <t>Role description</t>
  </si>
  <si>
    <t>Whether the role is a CPS 520 responsible-person role, a FAR accountable-person role, both or neither is decided here. That decision drives the four paths in the appointment process below, so getting it wrong at role creation propagates. No return files at this point: notification happens on appointment, not on creation.</t>
  </si>
  <si>
    <t xml:space="preserve">   The person</t>
  </si>
  <si>
    <t>Appointment of a person</t>
  </si>
  <si>
    <t>The keystone: one event writes five stores, on four paths depending on what kind of role it is.</t>
  </si>
  <si>
    <t>People, Fit and proper, Competency, Access, Remuneration ledger</t>
  </si>
  <si>
    <t>Input: an accepted offer. Blocked until the fit and proper initial assessment completes.</t>
  </si>
  <si>
    <t>3: appointment and role change; fit and proper declaration with standing consent; competency evidence.</t>
  </si>
  <si>
    <t>1, with 4 paths: responsible person / accountable person / both / neither. Calls 2 sub-workflows: fit and proper initial assessment, and accountability statement drafting and approval.</t>
  </si>
  <si>
    <t>1: accountability and fitness, showing status per person and anything overdue.</t>
  </si>
  <si>
    <t>Employment contract; accountability statement (accountable persons only)</t>
  </si>
  <si>
    <t>CPS 520 responsible person notification; FAR accountability map lodgement</t>
  </si>
  <si>
    <t>This is the line for the appointment of a person. Fit and proper must complete before appointment for a responsible person, an accountability statement must be drafted and Board approved for an accountable person, both apply where the role is both, and neither applies for an ordinary hire. Every store listed is written by this one event, which is why it is the keystone of the area.</t>
  </si>
  <si>
    <t>Departure and offboarding</t>
  </si>
  <si>
    <t>One event that should touch five stores. Today the five obligations exist and the join does not.</t>
  </si>
  <si>
    <t>People, Access, Twinning, System operators, Remuneration ledger</t>
  </si>
  <si>
    <t>Input: a resignation or a dismissal. Also cron, on a fixed-term end date.</t>
  </si>
  <si>
    <t>1: departure notice with the reason, since the reason is what raises the s32 and malus questions.</t>
  </si>
  <si>
    <t>1, with 5 branches, one per store touched: revoke access, settle the deferral treatment, invalidate twinning, invalidate system-operator entries, lodge the cessation notification.</t>
  </si>
  <si>
    <t>a slice of the accountability and fitness dashboard: open offboarding actions and anything outstanding.</t>
  </si>
  <si>
    <t>Termination letter; reissued accountability statement for any role reassigned</t>
  </si>
  <si>
    <t>CPS 520 cessation notification; FAR s32 notification where the departure is a dismissal</t>
  </si>
  <si>
    <t>One event touching five stores. Those five obligations exist separately in the document set and nothing joins them, which is the gap this row exists to make visible.</t>
  </si>
  <si>
    <t>Reassessing fitness and propriety</t>
  </si>
  <si>
    <t>Annual, plus on a trigger event. Only the initial assessment was written into Appointment; the recurring cycle had no process row.</t>
  </si>
  <si>
    <t>Fit and proper assessment records</t>
  </si>
  <si>
    <t>Cron, annual, fanned out per responsible person. Also input, on a trigger event: a criminal charge, a bankruptcy, a disqualification, or a substantiated breach.</t>
  </si>
  <si>
    <t>1: refreshed declaration and confirmation that the standing consent still holds.</t>
  </si>
  <si>
    <t>1: the assessment shape. Propriety checks refreshed as system tasks where a source supports it, fitness assessed against the role's required competencies, and a fail outcome routed to the departure process.</t>
  </si>
  <si>
    <t>1: a slice of the accountability and fitness dashboard, showing reassessments due and overdue.</t>
  </si>
  <si>
    <t>n/a: the assessment is a record rather than a document.</t>
  </si>
  <si>
    <t>Where a person ceases to be fit, the cessation notification and any FAR s32 notification file through the departure process rather than from here.</t>
  </si>
  <si>
    <t>Found by the Map: the initial assessment sits inside Appointment and the recurring cycle existed only as a register workflow with no process row of its own. The fail outcome is the interesting path, because it has to reach Departure and nothing joined them.</t>
  </si>
  <si>
    <t xml:space="preserve">   Remuneration</t>
  </si>
  <si>
    <t>Remuneration review</t>
  </si>
  <si>
    <t>Annual, but opened out of cycle by a substantiated breach, which is how malus reaches an award.</t>
  </si>
  <si>
    <t>Remuneration ledger, People (material risk-taker attribute)</t>
  </si>
  <si>
    <t>Cron, annual. Also input, on a substantiated breach or an s32 event, which is what opens the malus question out of cycle.</t>
  </si>
  <si>
    <t>2: performance and risk input per person; the Board's remuneration decision.</t>
  </si>
  <si>
    <t>2: the annual review cycle, and malus or clawback determination on a triggering event.</t>
  </si>
  <si>
    <t>1: deferral positions and vesting, the material risk-taker population, and any adjustment applied.</t>
  </si>
  <si>
    <t>Individual remuneration outcome letters</t>
  </si>
  <si>
    <t>Remuneration disclosure [confirm whether a CPS 511 return applies at this scale]</t>
  </si>
  <si>
    <t>Reads the incident store as well as the ledger: GOV-4 makes a substantiated breach a relevant consideration in a remuneration outcome and PPL-5 §5 sets the criteria, so malus sits inside this process rather than beside it. The material risk-taker population is refreshed here as a criteria-driven attribute rather than maintained as a list.</t>
  </si>
  <si>
    <t>Remuneration payment</t>
  </si>
  <si>
    <t>A read of the ledger rather than a decision: the schedule was set at review.</t>
  </si>
  <si>
    <t>Remuneration ledger (vesting and payment status), Bank payment records, General ledger</t>
  </si>
  <si>
    <t>Cron, from the vesting schedule and the payroll calendar.</t>
  </si>
  <si>
    <t>n/a: the award and its schedule were captured at review, and a payment run reads them.</t>
  </si>
  <si>
    <t>1, with dual authorisation.</t>
  </si>
  <si>
    <t>a slice of the remuneration dashboard: payments due, deferrals vesting, and exceptions.</t>
  </si>
  <si>
    <t>Payslip and remittance</t>
  </si>
  <si>
    <t>PAYG, single touch payroll and payroll tax [outside the APRA set]</t>
  </si>
  <si>
    <t>Deferred amounts vest from the ledger rather than being decided again, which is the point of holding the schedule as data. The absent entry form is the design working, not a gap.</t>
  </si>
  <si>
    <t xml:space="preserve">   Training</t>
  </si>
  <si>
    <t>Defining a training requirement</t>
  </si>
  <si>
    <t>One register of requirements rather than a training row per policy.</t>
  </si>
  <si>
    <t>Training requirements register</t>
  </si>
  <si>
    <t>Input: a document creates or changes a training or awareness obligation. Also cron, a periodic sweep of the suite for obligations nobody has listed.</t>
  </si>
  <si>
    <t>1: requirement definition, with the population it applies to, the cadence, and the document that requires it.</t>
  </si>
  <si>
    <t>1: the CEO defines the requirement, AI drafts which documents in the suite create a training obligation and whether any is unmet, the CEO confirms, and issuance is scheduled.</t>
  </si>
  <si>
    <t>1: a slice of the accountability and fitness dashboard, showing requirements and their populations.</t>
  </si>
  <si>
    <t>n/a: the requirement is data. The content it issues is the row below.</t>
  </si>
  <si>
    <t>At least four documents name a training or awareness obligation: GOV-4 the code of conduct, GOV-9 conflicts, GOV-10 whistleblower awareness, and PPL-5 risk culture. Several others probably do, and none is confirmed, which is why the AI step drafts the list rather than assuming someone has it. QUESTION for the design phase: whether security awareness under CPS 234, privacy under CUS-6 and AML/CTF training under CPL-1 are in scope.</t>
  </si>
  <si>
    <t>Authoring and maintaining training content</t>
  </si>
  <si>
    <t>The item that had nobody accountable for it, which is why the ownership escalation is recorded rather than assumed.</t>
  </si>
  <si>
    <t>Training content, versioned</t>
  </si>
  <si>
    <t>Input: a new requirement, or a material change to the policy the content teaches. Also cron, a periodic refresh.</t>
  </si>
  <si>
    <t>1: content and the requirement it satisfies.</t>
  </si>
  <si>
    <t>1: the publish shape. AI drafts or refreshes against the requirement and the current policy, the content owner reviews, an approver publishes, and the version supersedes the prior one.</t>
  </si>
  <si>
    <t>n/a: content currency shows on the completion view rather than needing its own.</t>
  </si>
  <si>
    <t>The content itself, per requirement.</t>
  </si>
  <si>
    <t>Versioning is what makes a completion record mean anything: it records which version a person completed, so a material policy change can invalidate completions rather than leaving everyone marked trained on superseded content. Reissue triggers on a policy change, not only on the cadence.</t>
  </si>
  <si>
    <t>Issuing and tracking completion</t>
  </si>
  <si>
    <t>Attestation shape, fanned out per person per requirement.</t>
  </si>
  <si>
    <t>Training completion records</t>
  </si>
  <si>
    <t>Cron, at induction and at each requirement's cadence, fanned out per person per requirement. Also input, on a new starter or a content version that invalidates prior completions.</t>
  </si>
  <si>
    <t>1: completion and attestation by the person.</t>
  </si>
  <si>
    <t>1: issue, the person completes and attests, completion is recorded against the content version, and non-completion escalates.</t>
  </si>
  <si>
    <t>1: a slice of the accountability and fitness dashboard, showing completion by requirement and anything overdue.</t>
  </si>
  <si>
    <t>Fires from Appointment for a new starter, which is the coupling that matters: a person who joins and is never issued their induction training is a completion record that never existed rather than one that is overdue, and only the requirement register makes that visible.</t>
  </si>
  <si>
    <t xml:space="preserve">   Reporting</t>
  </si>
  <si>
    <t>Regular reporting</t>
  </si>
  <si>
    <t>One calendar for the Board and committee cycle, the APRA returns and the annual confirmations.</t>
  </si>
  <si>
    <t>Lodgement and submission records, Board pack</t>
  </si>
  <si>
    <t>Cron, from the reporting calendar: Board and committee meeting dates, APRA return due dates, and the annual submission dates.</t>
  </si>
  <si>
    <t>1: management commentary and exception explanation. The numbers are system-generated; the narrative is not.</t>
  </si>
  <si>
    <t>3, one per cadence: the Board and committee cycle, APRA return preparation and reconciliation, and the annual submissions.</t>
  </si>
  <si>
    <t>1: reporting readiness and what is overdue, which is what makes the claim that month-end reconciliation is automatic testable.</t>
  </si>
  <si>
    <t>Board and committee papers; minutes</t>
  </si>
  <si>
    <t>APRA returns; annual MSP register submission; annual FAR and CPS 520 confirmations</t>
  </si>
  <si>
    <t>One calendar rather than three. The three cadences differ in due date and approver but not in shape, so they are three configurations rather than three builds.</t>
  </si>
  <si>
    <t>A change that invalidates a capability state, infrastructure delivered or withdrawn or a provider changing what it will commit to, is a second trigger on the capability assessment rather than a process of its own.</t>
  </si>
  <si>
    <t xml:space="preserve">   The critical operation</t>
  </si>
  <si>
    <t>Defining or changing a critical operation</t>
  </si>
  <si>
    <t>The analogue of role creation. The Board approves the operation and its three tolerances, versioned so a later incident is judged against the tolerance then in force.</t>
  </si>
  <si>
    <t>Critical operations, with its versioned tolerance sets</t>
  </si>
  <si>
    <t>Input: the COO proposes a new critical operation or an amended tolerance set. Also input, on a business change that adds or removes an operation.</t>
  </si>
  <si>
    <t>1: operation and tolerance proposal, carrying all three tolerance dimensions.</t>
  </si>
  <si>
    <t>1, with a Board approval gate. Versions the tolerance set with its approval reference and effective date.</t>
  </si>
  <si>
    <t>1: critical operations and capability, showing the operative tolerance per operation and dimension.</t>
  </si>
  <si>
    <t>n/a: OPS-2 is the framework and sits in the suite. An operation is data, not a document.</t>
  </si>
  <si>
    <t>n/a: nothing files on definition. The register reaches APRA through the annual Board paper at the last row.</t>
  </si>
  <si>
    <t>Point-in-time versioning is what makes this more than a list: an incident months later has to be judged against the tolerance in force at the time, not today's. The register exists and is built; the proposal form and the approval workflow do not, so the eight operations were loaded once and there is no governed way to change them.</t>
  </si>
  <si>
    <t>Assessing capability against tolerances</t>
  </si>
  <si>
    <t>Annual, fanned out eight operations by three dimensions, and reopened by any change that bears on a tolerance.</t>
  </si>
  <si>
    <t>Capability assessment records (children of critical operations), Cross-cutting gaps</t>
  </si>
  <si>
    <t>Cron, annual, fanned out eight operations by three dimensions. Also input, on a change that bears on a tolerance: infrastructure delivered or withdrawn, or a provider changing what it will commit to. That reopens the affected dimension rather than waiting for the cycle.</t>
  </si>
  <si>
    <t>n/a: the assessor's judgement and its evidence are the workflow's human task, not a separate form.</t>
  </si>
  <si>
    <t>2: the annual cycle, and re-assessment on a trigger. Both write a five-state outcome per dimension and raise anything short into the gap process below.</t>
  </si>
  <si>
    <t>1: critical operations and capability, showing capability state against the operative tolerance.</t>
  </si>
  <si>
    <t>n/a: feeds the annual Board paper at the last row.</t>
  </si>
  <si>
    <t>Much of this is derivable, since a tolerance, a tested recovery time and an infrastructure recovery objective are all data. The five-state field exists for the dimensions not yet tested, and it is that judgement and its evidence that need storing. The fan-out this needs, eight by three, is recorded as untested rather than known to fail, and it is now on the critical path for a licence-gated item.</t>
  </si>
  <si>
    <t>Closing a resilience gap</t>
  </si>
  <si>
    <t>Raised by the assessment, by a test result, or by anyone who notices one, and tracked to closure.</t>
  </si>
  <si>
    <t>Cross-cutting gaps</t>
  </si>
  <si>
    <t>Input: a gap raised by the capability assessment, by a test result, or out of cycle by anyone who notices one.</t>
  </si>
  <si>
    <t>1: out-of-cycle gap notification. The assessment and test paths raise gaps without a form.</t>
  </si>
  <si>
    <t>1: the closure shape. Owner, target date, progress, closure evidence, acceptance or reopen, with overdue escalation.</t>
  </si>
  <si>
    <t>1: a slice of the critical operations and capability dashboard, showing open gaps by age and by operation.</t>
  </si>
  <si>
    <t>The register has a status field and nothing drives it. Identical in shape to audit findings, privacy impact assessment findings and controls assurance remediation, so it is one workflow configured four ways rather than four workflows.</t>
  </si>
  <si>
    <t xml:space="preserve">   Testing</t>
  </si>
  <si>
    <t>Running a test</t>
  </si>
  <si>
    <t>One process, three configurations, all writing to the shared execution store. Security control testing is the fourth, over in information security.</t>
  </si>
  <si>
    <t>Test execution store, Test scenario library</t>
  </si>
  <si>
    <t>Cron, from the scenario schedule. Also input, where a test is called early after a change or a near-miss.</t>
  </si>
  <si>
    <t>2: scenario proposal into the library; test result capture, including a partial or failed result.</t>
  </si>
  <si>
    <t>3 configurations of one shape: resilience scenario test, business continuity and crisis test, provider exit plan test. A fourth, security control and penetration testing, is the same shape in information security.</t>
  </si>
  <si>
    <t>1: resilience testing, showing what has been tested, the results, and which capability states remain unresolved for want of a test.</t>
  </si>
  <si>
    <t>The BCP action plan and the crisis communications plan, which a continuity test exercises rather than produces.</t>
  </si>
  <si>
    <t>Results resolve the capability states the row above leaves as not yet tested, which is the join between the two. Recording a failed or partial test matters more than recording a passed one, and the capture form has to make that easy rather than awkward.</t>
  </si>
  <si>
    <t xml:space="preserve">   The disruption</t>
  </si>
  <si>
    <t>Responding to a disruption</t>
  </si>
  <si>
    <t>Declare, invoke the action plan, communicate, restore, judge against the operative tolerance, notify, close. The only process fired by the outside world.</t>
  </si>
  <si>
    <t>Incident and issue store, Capability assessment records (a real disruption is evidence)</t>
  </si>
  <si>
    <t>Input, from the outside world: a person declares a disruption, or a monitoring signal detects one. The only process in either area not initiated by the Company or fired by cron.</t>
  </si>
  <si>
    <t>2: disruption declaration; and the incident capture that already exists for the underlying event.</t>
  </si>
  <si>
    <t>3: BCP invocation and execution; crisis communications despatch; tolerance breach evaluation against the operative tolerance, returning an explicit indeterminate result where a tolerance defers to capability.</t>
  </si>
  <si>
    <t>1: a live disruption view. Which operation, elapsed against tolerance, which action plan steps are done, and what has been communicated. Distinct from the standing dashboard, which asks whether the Company could cope rather than whether it is coping.</t>
  </si>
  <si>
    <t>The BCP action plan for the affected operation, and the crisis communications plan. Both have to exist beforehand; neither can be written during.</t>
  </si>
  <si>
    <t>Reportable situation or prudential notification where a regime engages, plus any customer or adviser communication the plan carries.</t>
  </si>
  <si>
    <t>The row where the deep dive found the most missing. Nothing declares a disruption, nothing invokes an action plan, and nothing despatches the communications plan. The plans are being written and nothing runs them. Because the trigger is external there is no scheduled moment when someone remembers, which is why the declaration form matters far more than its size suggests.</t>
  </si>
  <si>
    <t xml:space="preserve">   The provider</t>
  </si>
  <si>
    <t>Onboarding a material service provider</t>
  </si>
  <si>
    <t>Materiality assessment, contract, and an exit plan before reliance begins rather than after.</t>
  </si>
  <si>
    <t>Material service providers</t>
  </si>
  <si>
    <t>Input: a new or changed provider arrangement is notified.</t>
  </si>
  <si>
    <t>1: provider notification, capturing the arrangement, the service relied on and the contract.</t>
  </si>
  <si>
    <t>1, with a materiality gate: AI drafts a materiality view against the CPS 230 criteria, the CRO determines, and the monitoring cadence and exit-plan obligation follow from that determination.</t>
  </si>
  <si>
    <t>1: material service providers, by materiality, monitoring status, contract end and exit plan test status.</t>
  </si>
  <si>
    <t>The contract, and the exit plan, which CPS 230 requires before reliance begins rather than after.</t>
  </si>
  <si>
    <t>The provider joins the annual submission at the last row.</t>
  </si>
  <si>
    <t>Nothing captures a provider today, which is why only AWS is recorded while the operating model depends on AI providers, reinsurers and payment providers. That is the most visible single gap in this area at the licence application.</t>
  </si>
  <si>
    <t>Monitoring a provider</t>
  </si>
  <si>
    <t>A cycle at the cadence materiality set, raising any shortfall into gap closure.</t>
  </si>
  <si>
    <t>Provider monitoring records</t>
  </si>
  <si>
    <t>Cron, per provider, at the cadence its materiality determination set. Also input, on a provider-reported incident or a service level failure.</t>
  </si>
  <si>
    <t>1: monitoring outcome capture, with evidence.</t>
  </si>
  <si>
    <t>1: the monitoring cycle, raising anything short into the gap closure process above.</t>
  </si>
  <si>
    <t>1: a slice of the provider dashboard, showing monitoring status and anything overdue.</t>
  </si>
  <si>
    <t>n/a: rolls into the annual submission at the last row.</t>
  </si>
  <si>
    <t>The monitoring cycle existed in the backlog and the store for its outcomes did not, so the provider dashboard had nothing to read. That store is new.</t>
  </si>
  <si>
    <t>Exiting a provider</t>
  </si>
  <si>
    <t>Planned or forced, where the exit plan is executed rather than tested.</t>
  </si>
  <si>
    <t>Material service providers, Test execution store</t>
  </si>
  <si>
    <t>Input: a decision to exit, or a provider failure forcing one. Also cron, on an approaching contract end date.</t>
  </si>
  <si>
    <t>1: exit initiation, recording whether the exit is planned or forced.</t>
  </si>
  <si>
    <t>1: execute the exit plan, transition or terminate the service, confirm data return or destruction, and close the arrangement on the register.</t>
  </si>
  <si>
    <t>1: a slice of the provider dashboard, showing exits in progress against plan.</t>
  </si>
  <si>
    <t>The exit plan, executed rather than tested.</t>
  </si>
  <si>
    <t>Notification to APRA on a change to a material arrangement [confirm what CPS 230 requires and when].</t>
  </si>
  <si>
    <t>Distinct from the exit plan test, where the same plan is exercised. A forced exit is a disruption as well as an exit, so the disruption process runs alongside this one, and the two must not fight over the same incident record.</t>
  </si>
  <si>
    <t>The annual Board paper and the annual provider submission, reconciling two stores that have to agree.</t>
  </si>
  <si>
    <t>Lodgement and submission records</t>
  </si>
  <si>
    <t>Cron: annual for the Board paper and the APRA submission, and per meeting for the Board and committee cycle.</t>
  </si>
  <si>
    <t>1: management commentary, and the materiality-trigger judgement the paper turns on.</t>
  </si>
  <si>
    <t>2: the annual Board paper, reconciling the register against the capability assessment and applying the materiality trigger; and the annual material service provider submission.</t>
  </si>
  <si>
    <t>1: reporting readiness and what is overdue.</t>
  </si>
  <si>
    <t>The annual operational resilience Board paper.</t>
  </si>
  <si>
    <t>Annual material service provider register submission to APRA.</t>
  </si>
  <si>
    <t>The paper reconciles two stores that have to agree, so it is the one place a divergence between the critical operations register and the capability assessment becomes visible. That is an argument for the assessment being child records of the register rather than a store beside it.</t>
  </si>
  <si>
    <t>The four views, breach, operational incident and near-miss, security, and data quality, are configurations of this one lifecycle rather than four processes. They differ in owner, regime and clock, not in shape.</t>
  </si>
  <si>
    <t xml:space="preserve">   The issue</t>
  </si>
  <si>
    <t>Reporting or detecting an issue</t>
  </si>
  <si>
    <t>Four capture paths into one store: a person, a system rule, another governance process, or off-platform while the platform itself is down.</t>
  </si>
  <si>
    <t>Incident and issue store</t>
  </si>
  <si>
    <t>Input, four ways: a person uses the four-button entry page; a system rule fires, such as a data quality failure or an overdue clock; another governance process raises one, such as controls assurance, an audit finding, a complaint or a disruption; or an off-platform record is submitted once availability returns.</t>
  </si>
  <si>
    <t>2: the four-button entry page; and the off-platform fallback for use while the platform is unavailable.</t>
  </si>
  <si>
    <t>2: capture and typing into the store; and reconciliation of off-platform records once availability is restored.</t>
  </si>
  <si>
    <t>1: a slice of the incident and breach measures, showing what has been raised and through which path.</t>
  </si>
  <si>
    <t>n/a: CPL-3 is the policy and sits in the suite.</t>
  </si>
  <si>
    <t>n/a: nothing files on capture. Notification is a later row.</t>
  </si>
  <si>
    <t>The store is built. The form exists and any staff member may use it, but it is reached from inside a risk case-management page rather than being a front door, which matters more here than the effort suggests: twenty people, no compliance department, and no other route by which a problem reaches the Risk function. The off-platform path is dated January 2027.</t>
  </si>
  <si>
    <t>Triaging and classifying it</t>
  </si>
  <si>
    <t>Where the statutory clocks start, held separately from the state change so a later reclassification cannot rewrite when the clock began.</t>
  </si>
  <si>
    <t>Incident and issue store (the assessed field set)</t>
  </si>
  <si>
    <t>Input: a new record arrives in the store. Also input, where new information changes an earlier classification.</t>
  </si>
  <si>
    <t>n/a: classification is a task on the record already captured, not a second form.</t>
  </si>
  <si>
    <t>2: classification into one of the four views with the three-state regime determination; and the significance assessment that decides whether a breach is reportable.</t>
  </si>
  <si>
    <t>1: clocks approaching and overdue, by regime.</t>
  </si>
  <si>
    <t>n/a: the determination is what sends a matter to the notification row, rather than filing itself.</t>
  </si>
  <si>
    <t>The store's three-state regime field and its split light and assessed field sets are built, and so is the clock engine. The determination workflow over them is not. Two notification timeframes remain unconfirmed; they are held as data, so confirming them is a setting rather than a build, and they can be left unconfirmed without blocking anything.</t>
  </si>
  <si>
    <t>Investigating it</t>
  </si>
  <si>
    <t>Root cause, whether the matter is systemic, and the links that unlock the ninety-day extended timeframe.</t>
  </si>
  <si>
    <t>Input: a matter classified as requiring investigation. Also cron, at sixty days, which is itself a reportable situation.</t>
  </si>
  <si>
    <t>n/a: findings and evidence are recorded against the matter as workflow tasks.</t>
  </si>
  <si>
    <t>3: investigation and root cause; similar-circumstances linking, where AI proposes and a person confirms; and the sixty-day trigger.</t>
  </si>
  <si>
    <t>1: ageing investigations, and anything past sixty days.</t>
  </si>
  <si>
    <t>1: the sixty-day overrun is itself a reportable situation and files through the row below.</t>
  </si>
  <si>
    <t>Built, including the linking step, which was created by reusing the AI-draft and human-confirm shape unchanged. That is the clearest evidence in the whole register that a shape built once becomes configuration rather than a build.</t>
  </si>
  <si>
    <t>Notifying a regulator</t>
  </si>
  <si>
    <t>One workflow configured per regime, sharing its shape with the FAR, CPS 520 and provider notifications.</t>
  </si>
  <si>
    <t>Regulator submission record</t>
  </si>
  <si>
    <t>Input: a determination at triage that a regime engages. Escalates as the computed due date approaches.</t>
  </si>
  <si>
    <t>1: notification content and the approval decision.</t>
  </si>
  <si>
    <t>1, configured per regime: ASIC reportable situations, APRA prudential notification, and the OAIC notifiable data breach path [assumed required by CUS-1 and CUS-6; confirm]. Draft, approve, lodge, record.</t>
  </si>
  <si>
    <t>1: notifications due, lodged and overdue by regime.</t>
  </si>
  <si>
    <t>The notification itself, versioned, and the evidence of what was lodged.</t>
  </si>
  <si>
    <t>The notification to each regulator, with lodgement date, recipient and reference.</t>
  </si>
  <si>
    <t>The clock engine, the regime rules and the submission record are all built. The draft, approve and lodge sequence over them is not. Because the shape is shared with the FAR s32, CPS 520 and material service provider notifications, this is one workflow with five configurations rather than five workflows.</t>
  </si>
  <si>
    <t>Remediating and closing</t>
  </si>
  <si>
    <t>The fifth instance of the closure shape, after audit findings, privacy findings, controls assurance remediation and resilience gaps.</t>
  </si>
  <si>
    <t>Incident and issue store (closure state and evidence)</t>
  </si>
  <si>
    <t>Input: an investigation concluded, or a control fix or customer remedy determined.</t>
  </si>
  <si>
    <t>1: closure evidence and the remediation record.</t>
  </si>
  <si>
    <t>2: control fix and closure with an acceptance gate and a reopen path; and customer remediation where customers were affected, which carries a later gate.</t>
  </si>
  <si>
    <t>1: open matters by age, and anything reopened.</t>
  </si>
  <si>
    <t>Customer remediation sits after go-live on the assumption that at launch volumes a remediation can be run by hand. That assumption should be revisited as in-force volume grows, because the point at which it fails is not obvious in advance.</t>
  </si>
  <si>
    <t>Individual notifications exist. The aggregate view the Board reads does not.</t>
  </si>
  <si>
    <t>Cron, per the Board and Risk Committee meeting cycle.</t>
  </si>
  <si>
    <t>1: management commentary on themes, and anything the numbers do not show.</t>
  </si>
  <si>
    <t>1: assemble volumes, ageing, overdue clocks, what was notified and the themes the confirmed links expose, then route to the Risk Committee.</t>
  </si>
  <si>
    <t>1: the incident and breach measures the report draws on.</t>
  </si>
  <si>
    <t>The periodic incident and breach report.</t>
  </si>
  <si>
    <t>To the Board and Risk Committee, and into the annual reporting cycle.</t>
  </si>
  <si>
    <t>This was recorded as a gap in the area matrix, and the process view shows why it was understated: the four views were counted as this area's dashboard, but they are filtered lists over the store rather than measures against a threshold. They answer what is open, not whether the Company is keeping up.</t>
  </si>
  <si>
    <t>Two things to carry out of this area. Rows two to five all depend on the obligations population workplan, which is compliance work rather than a build: tooling over a register holding test data buys nothing. And risk identification, the AI capability that reads a document and identifies the risks it raises, is filed in this area only because nothing better exists. The risk register, risk identification and risk rating are not among the seventy-four artefacts at all, while appetite and key risk indicators sit under Delegations and Board. That looks like a missing area rather than a misfiled row.</t>
  </si>
  <si>
    <t xml:space="preserve">   The obligation</t>
  </si>
  <si>
    <t>Identifying a source instrument</t>
  </si>
  <si>
    <t>Deciding what actually applies to the Company. The top of the pipeline, and what every row below inherits from.</t>
  </si>
  <si>
    <t>Sources and instruments in the obligations pipeline; the nine compliance domains and their first-line owners as reference data alongside them</t>
  </si>
  <si>
    <t>Input: a new instrument is identified, or a regulator amends one. Also cron, an annual sweep of the regulatory environment against the product roadmap.</t>
  </si>
  <si>
    <t>1: source instrument capture, carrying the paragraphs, the domain and the source. Also the route by which someone who spots a missing obligation gets it in, since an obligation is drafted from an instrument rather than proposed on its own.</t>
  </si>
  <si>
    <t>1: scoping and applicability. AI drafts the reasoning, the CRO determines in or out of scope with the reason recorded, and what was excluded is evidenced as deliberately as what was included.</t>
  </si>
  <si>
    <t>1: a slice of the compliance measures, showing instruments in scope by domain and anything scoped but not yet drafted from.</t>
  </si>
  <si>
    <t>n/a: CPL-2 is the framework and sits in the suite.</t>
  </si>
  <si>
    <t>The pipeline holds sources, instruments and paragraphs and is built. The capture form and the scoping determination over it are not, so the instruments currently in it were loaded rather than scoped through a governed path. First-line domain ownership is folded in here as reference data because a domain is scoped at the same time as the instruments that fall in it.</t>
  </si>
  <si>
    <t>Creating obligations from an instrument</t>
  </si>
  <si>
    <t>AI drafts from the paragraphs, the CRO validates, an owner and a control attach. Built and working, and holding test data.</t>
  </si>
  <si>
    <t>Obligations in the pipeline, with owner as a real reference to a function</t>
  </si>
  <si>
    <t>Input: an instrument scoped in, or a paragraph added to one already in scope.</t>
  </si>
  <si>
    <t>n/a: drafting is AI, validation is the CRO's task on the draft. There is nothing for a person to fill in.</t>
  </si>
  <si>
    <t>1: AI drafts the obligation, the CRO validates, and owner, control and history are recorded.</t>
  </si>
  <si>
    <t>1: a slice of the compliance measures, showing obligation coverage by domain and obligations without a control.</t>
  </si>
  <si>
    <t>The tooling is built and the owner reference was hardened from a name-matched string. What has not been done is the work: reading each instrument and drafting the obligations it creates. Some of what sits in the register today is test data to be replaced. That is a compliance workplan rather than a build, and it is the dependency under this row and the next three, because tooling over an unpopulated register buys nothing.</t>
  </si>
  <si>
    <t>Refreshing obligations when an instrument changes</t>
  </si>
  <si>
    <t>The regulator amends something, and the affected obligations have to be found, redrafted and revalidated.</t>
  </si>
  <si>
    <t>Obligations in the pipeline, with version history and the reason</t>
  </si>
  <si>
    <t>Input: a change detected in a scoped instrument. Also cron, a periodic re-check that scoped instruments are still current.</t>
  </si>
  <si>
    <t>n/a: the change arrives against the instrument, and revalidation is the CRO's task.</t>
  </si>
  <si>
    <t>1: detect the changed instrument, AI drafts the affected obligations, the CRO validates, and owners and controls are updated rather than duplicated.</t>
  </si>
  <si>
    <t>1: a slice of the compliance measures, showing obligations pending revalidation.</t>
  </si>
  <si>
    <t>Sequenced behind the population workplan. Refreshing a population that was never properly created has no value, so this row is not the constraint even though it is unbuilt.</t>
  </si>
  <si>
    <t xml:space="preserve">   The control</t>
  </si>
  <si>
    <t>Defining or changing a control</t>
  </si>
  <si>
    <t>The row nothing covers. Three other rows point at controls and nothing in the register defines what a control is.</t>
  </si>
  <si>
    <t>Control register: description, owner, preventive or detective, operating frequency, evidence method</t>
  </si>
  <si>
    <t>Input: a new control is designed, or an existing one is amended, or an obligation arrives with nothing to discharge it.</t>
  </si>
  <si>
    <t>1: control definition capture, with the obligations it discharges.</t>
  </si>
  <si>
    <t>1: the first-line owner defines or amends, AI proposes the obligations it discharges, the CRO confirms the linkage and the classification, and the control is versioned. Where a control changes, obligations that relied on the prior version are re-linked rather than silently inheriting.</t>
  </si>
  <si>
    <t>1: a slice of the compliance measures, showing controls by owner and any without a linked obligation.</t>
  </si>
  <si>
    <t>Flagged as an assumption rather than asserted: controls may already be first-class objects inside the obligations pipeline, in which case this is a description gap rather than a build. Engineering should settle it before anything is built, because three rows depend on the answer.</t>
  </si>
  <si>
    <t>Linking a control to an obligation</t>
  </si>
  <si>
    <t>AI proposes, the CRO confirms. The one missing step in an otherwise built graph.</t>
  </si>
  <si>
    <t>Control and obligation linkage</t>
  </si>
  <si>
    <t>Input: a new obligation, or a new or changed control.</t>
  </si>
  <si>
    <t>n/a: confirmation is a task on the proposed linkage.</t>
  </si>
  <si>
    <t>1: AI proposes the linkage with its reasoning, the CRO confirms or rejects, and the decision is recorded.</t>
  </si>
  <si>
    <t>1: a slice of the compliance measures, showing obligations with no control and controls with no obligation.</t>
  </si>
  <si>
    <t>The graph, its edges and the control-failure link are all built, and the owner is a real reference. What is absent is the AI-propose step, which is a plain reuse of the shape already running the obligations pipeline and the issue linking. One of the cheapest items in the register.</t>
  </si>
  <si>
    <t>Testing a control</t>
  </si>
  <si>
    <t>The assessment cycle. The store exists and nothing prompts the cycle, so testing can be recorded but only when someone remembers.</t>
  </si>
  <si>
    <t>Controls assurance: testing plan, execution, evidence, remediation, and the audit log of what was tested by whom</t>
  </si>
  <si>
    <t>Cron, per the control's testing cadence, fanned out one assessment per control. Also input, where a change or an incident calls a test early.</t>
  </si>
  <si>
    <t>1: test execution and evidence capture.</t>
  </si>
  <si>
    <t>1: the assessment cycle, with remediation raising into the closure shape.</t>
  </si>
  <si>
    <t>1: a slice of the compliance measures, showing controls tested against plan and anything overdue.</t>
  </si>
  <si>
    <t>This is why the item sits in Group 2 rather than Group 1 in the inventory: the store is built, and what is outstanding is the cycle that drives it. Configuring cadence, assessor and overdue escalation against the assessment primitives is what turns a place to record testing into testing that reliably happens.</t>
  </si>
  <si>
    <t>Recording a control failure</t>
  </si>
  <si>
    <t>Where the arrangements-inadequate limb becomes answerable from data rather than memory.</t>
  </si>
  <si>
    <t>Control and obligation linkage with failure history; the incident store where a regime engages</t>
  </si>
  <si>
    <t>Input, three ways: a test fails, an incident reveals a control did not operate, or someone notices and reports it.</t>
  </si>
  <si>
    <t>1: control failure recording, against the control and the obligations it was discharging.</t>
  </si>
  <si>
    <t>2: record the failure and increment the count; and assess whether the failure makes the arrangements inadequate and whether it is a reportable situation, which sends it into the incident process.</t>
  </si>
  <si>
    <t>1: failure counts by control and by obligation. The inventory records that nothing aggregates failures into a number a significance test could use, and this is that number.</t>
  </si>
  <si>
    <t>Where the failure is a reportable situation it files through the incident area's notification row.</t>
  </si>
  <si>
    <t>Failures do not only come from testing, which is why this is a row rather than a step inside the one above. The count is the point: a single control failure is a finding, and the same control failing four times is an inadequate arrangement, and only the aggregate distinguishes them.</t>
  </si>
  <si>
    <t>CPL-2 assumes this reporting happens. Nothing generates it.</t>
  </si>
  <si>
    <t>Cron, per the Risk Committee meeting cycle.</t>
  </si>
  <si>
    <t>1: management commentary on themes and anything the numbers do not show.</t>
  </si>
  <si>
    <t>1: assemble obligation coverage, testing completed against plan, failures and their significance, and open remediation, then route to the Risk Committee.</t>
  </si>
  <si>
    <t>1: the compliance measures the report draws on.</t>
  </si>
  <si>
    <t>The periodic compliance report.</t>
  </si>
  <si>
    <t>To the Risk Committee, and into the annual Board reporting cycle.</t>
  </si>
  <si>
    <t>One of the three matrix gaps this area carried. The other two, the entry form and the dashboard, are closed by the rows above.</t>
  </si>
  <si>
    <t>The least-built area so far: nothing exists, and every item sits on the February to March 2027 timeline. Two things are flagged rather than asserted, both recorded in the register so the decision is visible: key and secret custody, which no artefact covers and which may be deliberate; and whether CPS 234 requires an annual attestation at this scale.</t>
  </si>
  <si>
    <t xml:space="preserve">   The information asset</t>
  </si>
  <si>
    <t>Classifying an information asset</t>
  </si>
  <si>
    <t>The analogue of role creation and of defining a critical operation: classify the thing, and the controls follow from the classification.</t>
  </si>
  <si>
    <t>Information asset classification inventory, including the operator fields moved here from People, and key and secret custody</t>
  </si>
  <si>
    <t>Input: an asset is created or materially changed. Also cron, a periodic reclassification review, since an asset moving tier changes the controls that must apply to it.</t>
  </si>
  <si>
    <t>1: asset classification capture, carrying owner, criticality, sensitivity tier and named operators.</t>
  </si>
  <si>
    <t>1: the owner classifies, the system derives the controls for that tier and records them against the asset, the COO confirms, and a reclassification review is scheduled.</t>
  </si>
  <si>
    <t>1: a slice of the security measures, showing assets by tier and anything unclassified.</t>
  </si>
  <si>
    <t>n/a: OPS-5 is the framework and sits in the suite.</t>
  </si>
  <si>
    <t>Nothing in this area is built; the inventory is dated February 2027. Key and secret custody is recorded here as a flagged assumption: OPS-5 sets out encryption and nothing in the seventy-four artefacts covers key custody, rotation or recovery. It may be deliberate, on the basis that it is infrastructure rather than a governance artefact. It is in the register so the decision is visible rather than absent.</t>
  </si>
  <si>
    <t>Granting, changing or revoking access</t>
  </si>
  <si>
    <t>One lifecycle with three transitions, and the subject may be a person, a system or an AI agent.</t>
  </si>
  <si>
    <t>Access record: which subject has access to which asset, at what level</t>
  </si>
  <si>
    <t>Input, three ways: an appointment grants, a role change alters, a departure or a withdrawal of need revokes. Also input, a specific request outside those events.</t>
  </si>
  <si>
    <t>1: access request and change capture, against a named asset and level.</t>
  </si>
  <si>
    <t>1 with three transitions: grant, change and revoke. The asset owner approves against the sensitivity tier, and the record extends to systems and AI agents rather than only people.</t>
  </si>
  <si>
    <t>1: a slice of the security measures, showing access by subject type and anything granted without an approval record.</t>
  </si>
  <si>
    <t>This row is coupled to the People rows and mostly fired by them rather than initiated here. If appointment and departure do not set and revoke access, the access record is wrong from the first day it exists, and a stale access record is worse than none because it is evidence of a control that is not operating. That coupling is the single most important thing in this area.</t>
  </si>
  <si>
    <t>Recertifying access</t>
  </si>
  <si>
    <t>Periodic confirmation that the access shown is access still needed.</t>
  </si>
  <si>
    <t>Access record</t>
  </si>
  <si>
    <t>Cron, fanned out per asset owner. [ASSUMPTION: six-monthly. OPS-5 §3 requires the record but states no recertification cadence.]</t>
  </si>
  <si>
    <t>n/a: confirmation is the assessor's task against the list already held.</t>
  </si>
  <si>
    <t>1: the assessment shape, where the assessor confirms each subject still needs the access shown and anything unconfirmed is revoked rather than left.</t>
  </si>
  <si>
    <t>1: a slice of the security measures, showing recertifications completed and overdue.</t>
  </si>
  <si>
    <t>The default matters here: access unconfirmed at the end of a cycle should be revoked rather than carried, because the alternative is that a recertification which nobody completes leaves the record exactly as wrong as it was, while appearing to have been checked.</t>
  </si>
  <si>
    <t>Running a security test</t>
  </si>
  <si>
    <t>One row, three configurations, and the fourth and fifth uses of the shared test execution store.</t>
  </si>
  <si>
    <t>Test execution store; the security control testing programme's plan, scope and cadence</t>
  </si>
  <si>
    <t>Cron, per the testing plan. Also input, where a change or an incident calls a test early.</t>
  </si>
  <si>
    <t>1: test result capture, shared with the resilience testing programme.</t>
  </si>
  <si>
    <t>3 configurations of one shape: control effectiveness testing, penetration testing with an external provider performing the test task and the COO accepting the result, and the response plan exercise across the three scenarios.</t>
  </si>
  <si>
    <t>1: a slice of the security measures, showing testing completed against plan and open findings.</t>
  </si>
  <si>
    <t>The security incident response plans, which the exercise configuration tests rather than produces.</t>
  </si>
  <si>
    <t>The plan, scope, cadence and provider are all flagged as not yet built, which means the programme is currently a date rather than a plan. Findings raise into the closure shape, which is now its sixth instance.</t>
  </si>
  <si>
    <t xml:space="preserve">   The incident</t>
  </si>
  <si>
    <t>Responding to a security incident</t>
  </si>
  <si>
    <t>The plans are written and tested annually. Nothing invokes one.</t>
  </si>
  <si>
    <t>Incident and issue store (the security view); the response plan steps as executed</t>
  </si>
  <si>
    <t>Input: a security event detected or reported, arriving through the incident area's capture paths.</t>
  </si>
  <si>
    <t>n/a: capture is the incident area's entry page rather than a second form here.</t>
  </si>
  <si>
    <t>1: select the plan for the scenario, contain, execute the plan steps, and record each against the incident. The same shape as BCP invocation in operational resilience.</t>
  </si>
  <si>
    <t>1: a slice of the security measures, showing incidents and their containment.</t>
  </si>
  <si>
    <t>The response plan for the scenario: provider compromise, unauthorised access, or an AI system operating outside its function.</t>
  </si>
  <si>
    <t>CPS 234 notification of a material incident, and separately of a material control weakness, as configurations of the shared notification workflow.</t>
  </si>
  <si>
    <t>Filed here rather than in the incident area because the plan invocation and the CPS 234 notification are specific to security, while the record itself lives in the incident store's security view. The same split as disruption response: one area owns the response, another owns the record. The third scenario, an AI system operating outside its function, has no external precedent to lean on and is specific to this operating model.</t>
  </si>
  <si>
    <t>Both the dashboard and the report were gaps in the area matrix. CPS 234 makes this the Board's business.</t>
  </si>
  <si>
    <t>Cron, per the Board and committee cycle for the report, and annually for the attestation.</t>
  </si>
  <si>
    <t>1: assemble classification coverage, access anomalies, testing and findings, incidents and containment, and open remediation, then route to the Board.</t>
  </si>
  <si>
    <t>1: the security measures the report draws on.</t>
  </si>
  <si>
    <t>The periodic security report.</t>
  </si>
  <si>
    <t>To the Board; and a CPS 234 annual attestation [assumption, flagged: whether an attestation or return applies at this scale has been an open question since the area matrix was built and is still unconfirmed].</t>
  </si>
  <si>
    <t>The attestation is written in flagged rather than left as a silent gap, so that confirming or striking it is a decision someone takes rather than an omission nobody notices.</t>
  </si>
  <si>
    <t>Questions in the Notes column are flagged for the design phase rather than answered here. The job at this stage is the breadth of the work, and these are better settled when each line item is designed. They are collected on the Questions sheet.</t>
  </si>
  <si>
    <t xml:space="preserve">   The data item</t>
  </si>
  <si>
    <t>Defining or changing a data item</t>
  </si>
  <si>
    <t>The dictionary is what everything else in this area measures against, including what 'mandatory' means.</t>
  </si>
  <si>
    <t>Data dictionary, lineage records, and the seven data domains with their accountable executives</t>
  </si>
  <si>
    <t>Input: a schema change, a new field, or a new report or decision that relies on an existing item. Also cron, a periodic review of definitions against what the systems actually hold.</t>
  </si>
  <si>
    <t>1: data item definition capture, carrying the definition, permitted values, mandatory flag and domain.</t>
  </si>
  <si>
    <t>1: the domain owner defines or amends, lineage is recorded from capture through to the reports and decisions relying on the item, the COO confirms the mandatory flag, and the item is versioned.</t>
  </si>
  <si>
    <t>1: a slice of the data quality measures, showing items defined against items in use and anything undefined.</t>
  </si>
  <si>
    <t>n/a: OPS-6 is the framework and sits in the suite. The data structure diagrams are satisfied by the logical architecture diagram at OPS-1 §6.</t>
  </si>
  <si>
    <t>QUESTION for the design phase: whether lineage is derived from the platform automatically or maintained by hand. If derived, it is a system task inside this workflow. If maintained, it is a second form and an ongoing burden that will rot. OPS-6 §2 requires the tracing and does not say how. Also worth noting the seven data domains here are a different cut from the nine compliance domains, and nobody should try to reconcile them.</t>
  </si>
  <si>
    <t xml:space="preserve">   Data quality</t>
  </si>
  <si>
    <t>Defining a data quality rule</t>
  </si>
  <si>
    <t>The rules are the mechanism behind the claim that month-end reconciliation disappears.</t>
  </si>
  <si>
    <t>Data quality rule register: domain, item, completeness or consistency, threshold, window, severity</t>
  </si>
  <si>
    <t>Input: a new item or domain, a new report that depends on an item, or a recurring issue that shows a rule is missing.</t>
  </si>
  <si>
    <t>1: rule definition capture, with the threshold and window.</t>
  </si>
  <si>
    <t>1: the domain owner proposes, AI checks the rule against the dictionary for items it cannot test, the COO approves, and the rule is scheduled.</t>
  </si>
  <si>
    <t>1: a slice of the data quality measures, showing rules per domain and domains with no rule.</t>
  </si>
  <si>
    <t>A rule that references an item with no definition is the common failure, which is why the dictionary gates this rather than the reverse. QUESTION for the design phase: whether the rules engine already holds rules as first-class configurable objects, in which case the rule register is a description gap rather than a build. This is the same question as the control register in compliance and should be answered once for both.</t>
  </si>
  <si>
    <t>Running the rules and raising issues</t>
  </si>
  <si>
    <t>Deterministic, scheduled, and the only row in this area that needs no person.</t>
  </si>
  <si>
    <t>Windowed issue records generated per rule</t>
  </si>
  <si>
    <t>Cron, per rule at its own window.</t>
  </si>
  <si>
    <t>n/a: the engine raises issues. A person who notices a data problem uses the four-button entry page in the incident area rather than a form here.</t>
  </si>
  <si>
    <t>1: execute the rules, generate windowed issue records, and pass anything above threshold to resolution.</t>
  </si>
  <si>
    <t>1: rates per domain against target, and the volume and age of outstanding issues.</t>
  </si>
  <si>
    <t>Scoped at go-live to the rules behind the APRA return and the ledger rather than all seven domains. That protects the regulatory numbers and quietly accepts manual effort elsewhere for a period, which is a cost worth naming rather than discovering.</t>
  </si>
  <si>
    <t>Resolving a data quality issue</t>
  </si>
  <si>
    <t>Correction at source where possible, cleansing where it is not, with the reason recorded either way.</t>
  </si>
  <si>
    <t>Issue records with resolution and evidence</t>
  </si>
  <si>
    <t>Input: an issue raised above threshold by the rules, or a data problem reported by a person through the incident entry page.</t>
  </si>
  <si>
    <t>1: resolution evidence and the reason, since correcting at source and cleansing after the fact are different answers and the difference matters later.</t>
  </si>
  <si>
    <t>1: the closure shape, with an acceptance gate and a reopen path. The seventh instance of this shape.</t>
  </si>
  <si>
    <t>1: a slice of the data quality measures, showing outstanding issues by age and by domain.</t>
  </si>
  <si>
    <t>The distinction the row turns on: a cleansed value is right now and wrong again next time, while a correction at source stops the issue recurring. If the resolution record does not force that choice to be stated, the metric improves while the underlying problem persists.</t>
  </si>
  <si>
    <t xml:space="preserve">   End-user computing</t>
  </si>
  <si>
    <t>Registering an end-user computing tool</t>
  </si>
  <si>
    <t>A spreadsheet or extract starts feeding a decision or a return, and has to be inventoried.</t>
  </si>
  <si>
    <t>End-user computing inventory: purpose, owner, version control, methodology, reconciliation</t>
  </si>
  <si>
    <t>Input: a tool outside the single data source starts feeding a decision or a return.</t>
  </si>
  <si>
    <t>1: registration, with the purpose and the reconciliation method.</t>
  </si>
  <si>
    <t>1: the owner registers it, the COO confirms it is needed rather than a symptom of a missing system capability, and a reconciliation cadence is set.</t>
  </si>
  <si>
    <t>1: a slice of the data quality measures, showing registered tools by owner.</t>
  </si>
  <si>
    <t>OPS-6 §2 makes a spreadsheet the expensive option rather than the cheap one, because anything outside the single data source picks up inventory, version control and reconciliation obligations. The confirmation step exists so that registering a tool is a moment to ask whether the platform should do the job instead.</t>
  </si>
  <si>
    <t>Reconciling an end-user computing tool</t>
  </si>
  <si>
    <t>The periodic confirmation that makes the inventory a control rather than a list.</t>
  </si>
  <si>
    <t>End-user computing inventory</t>
  </si>
  <si>
    <t>Cron, per tool. [ASSUMPTION: annual.]</t>
  </si>
  <si>
    <t>1: reconciliation evidence.</t>
  </si>
  <si>
    <t>1: the assessment shape, confirming version control, methodology and reconciliation per tool.</t>
  </si>
  <si>
    <t>1: a slice of the data quality measures, showing anything unreconciled or overdue.</t>
  </si>
  <si>
    <t>Split out by the Map, which showed the original row was doing two lifecycle stages at once: registering is an event and reconciling is a cycle, and merging them hid the fact that only one of the two was described.</t>
  </si>
  <si>
    <t xml:space="preserve">   De-identified data</t>
  </si>
  <si>
    <t>Confirming a de-identification method before use</t>
  </si>
  <si>
    <t>The confirmation is the control, and it binds on the first use rather than on a date.</t>
  </si>
  <si>
    <t>De-identification method register: which method applies to which use, and the confirmation</t>
  </si>
  <si>
    <t>Input: a new analytics or model-development use of de-identified data is proposed.</t>
  </si>
  <si>
    <t>1: use request, naming the use and the method proposed.</t>
  </si>
  <si>
    <t>1: the requester names the use, AI drafts whether the method is fit for it, and the CRO confirms before the data is used.</t>
  </si>
  <si>
    <t>n/a: a register of confirmations does not need a measure at this volume.</t>
  </si>
  <si>
    <t>QUESTION for the design phase: the register is gated at +12 months, but 'confirmed fit for that use before use' binds on the first such use. If any analytics or model-development use of customer data happens earlier, this is needed earlier, and the gate should follow the first use rather than the register's date.</t>
  </si>
  <si>
    <t>Reaches the Board through the Board pack rather than through a return of its own.</t>
  </si>
  <si>
    <t>Cron, per the Board and committee cycle.</t>
  </si>
  <si>
    <t>1: management commentary on themes and on anything the rates do not show.</t>
  </si>
  <si>
    <t>1: assemble rates per domain against target, outstanding issues by age, and cleansing progress, then route into the Board pack.</t>
  </si>
  <si>
    <t>1: the data quality measures the report draws on.</t>
  </si>
  <si>
    <t>The data quality report.</t>
  </si>
  <si>
    <t>n/a: nothing files with a regulator. The numbers reach APRA through the returns the data supports rather than as a submission about data quality.</t>
  </si>
  <si>
    <t>The only area so far whose reporting produces a document and no return, which is why the area matrix records its Report column as deliberately blank rather than as a gap.</t>
  </si>
  <si>
    <t>The area whose principal entries already exist and are structural rather than hypothetical, which makes the initial population the real work and the tooling secondary. It is also the area that exposed a missing attribute rather than a missing process: nothing records which directors are unaffiliated, and two processes here need to know.</t>
  </si>
  <si>
    <t xml:space="preserve">   The conflict</t>
  </si>
  <si>
    <t>Disclosing a conflict and deciding the response</t>
  </si>
  <si>
    <t>Logged within five business days whether or not a response is decided, which makes logging and deciding two steps with two clocks.</t>
  </si>
  <si>
    <t>Conflicts register</t>
  </si>
  <si>
    <t>Input: a person discloses an interest. Also input, on a trigger event: an appointment, a new arrangement, or a change in a related party's business.</t>
  </si>
  <si>
    <t>1: the disclosure form, which has to accept a record with no response yet.</t>
  </si>
  <si>
    <t>1 with two timed steps and a routing rule: log within five business days, then the CRO decides the response, or the Chair where a director is involved. Avoid, control or disclose, with the next review date set from the response.</t>
  </si>
  <si>
    <t>1: conflicts logged with no response decided, and how long they have been waiting against the five-day rule.</t>
  </si>
  <si>
    <t>n/a: GOV-9 is the policy and sits in the suite.</t>
  </si>
  <si>
    <t>n/a: nothing files on disclosure. The Board sees it through reporting.</t>
  </si>
  <si>
    <t>The field-set split the five-day rule needs is exactly what the incident store already does with its light and assessed field sets, so this is likely a reuse rather than a design. Routing depends on who is involved, which needs director affiliation held as data rather than judged each time.</t>
  </si>
  <si>
    <t>Reviewing a conflict</t>
  </si>
  <si>
    <t>A conflict whose response is never revisited is a control that stopped operating without anyone deciding to stop it.</t>
  </si>
  <si>
    <t>Cron, from each conflict's next review date. Also input, where the underlying circumstances change.</t>
  </si>
  <si>
    <t>n/a: confirmation is the reviewer's task on the record already held.</t>
  </si>
  <si>
    <t>1: the review shape. AI drafts whether the response is still adequate, the CRO or the Chair confirms, amends, or records the conflict as ceased.</t>
  </si>
  <si>
    <t>1: a slice of the conflicts measures, showing reviews due and overdue.</t>
  </si>
  <si>
    <t>Cessation is an outcome of this review rather than a process of its own, which is why the Map shows no Exit stage for a conflict.</t>
  </si>
  <si>
    <t xml:space="preserve">   The related-party arrangement</t>
  </si>
  <si>
    <t>Approving a related-party arrangement</t>
  </si>
  <si>
    <t>C9 reviews arrangements annually. Nothing approved them in the first place.</t>
  </si>
  <si>
    <t>Related-party arrangement register, with the benchmark and the approval</t>
  </si>
  <si>
    <t>Input: a standing arrangement with a related party is proposed or identified.</t>
  </si>
  <si>
    <t>1: arrangement capture, with the parties, the service, the terms and the benchmark relied on.</t>
  </si>
  <si>
    <t>1: the Company Secretary records it, AI drafts whether it is a related-party arrangement and what benchmark applies, the system identifies the unaffiliated directors from the role record, and those directors approve the terms as arm's length with the benchmark attached.</t>
  </si>
  <si>
    <t>1: a slice of the conflicts measures, showing arrangements with their approval and benchmark status.</t>
  </si>
  <si>
    <t>The benchmark evidence, held against the arrangement.</t>
  </si>
  <si>
    <t>n/a: approval is internal. It reaches APRA through the application and then through reporting.</t>
  </si>
  <si>
    <t>The step that needs something nobody holds: the requirement names unaffiliated directors and nothing records which directors are unaffiliated. That is an attribute on the role record, and it is now a register item in the People area rather than here.</t>
  </si>
  <si>
    <t>Reviewing a related-party arrangement</t>
  </si>
  <si>
    <t>Annual, with the benchmark refreshed rather than assumed to still hold.</t>
  </si>
  <si>
    <t>Related-party arrangement register: the annual review outcome</t>
  </si>
  <si>
    <t>Cron, annual, fanned out per standing arrangement.</t>
  </si>
  <si>
    <t>1: the refreshed benchmark and the review outcome.</t>
  </si>
  <si>
    <t>1: the assessment shape, with the arm's-length benchmark as evidence and the unaffiliated directors as the assessors.</t>
  </si>
  <si>
    <t>1: a slice of the conflicts measures, showing reviews completed and overdue.</t>
  </si>
  <si>
    <t>The refreshed benchmark.</t>
  </si>
  <si>
    <t>Into the related-party and conflicts report the Board and the unaffiliated directors read.</t>
  </si>
  <si>
    <t>A benchmark that is not refreshed becomes an assertion about a market that has moved. Whether refreshing it needs an external source, and what that costs, is a design-phase question.</t>
  </si>
  <si>
    <t>Ending or renegotiating an arrangement</t>
  </si>
  <si>
    <t>Live rather than theoretical: the Retender arrangements are the ones most likely to change.</t>
  </si>
  <si>
    <t>Related-party arrangement register</t>
  </si>
  <si>
    <t>Input: an arrangement ends, or its terms change.</t>
  </si>
  <si>
    <t>1: the end or the change, and what replaced it.</t>
  </si>
  <si>
    <t>1: where terms change, back through approval rather than amended in place, since new terms need a new arm's-length finding. Where it ends, the entry is closed with what replaced it recorded.</t>
  </si>
  <si>
    <t>1: a slice of the conflicts measures.</t>
  </si>
  <si>
    <t>Amending an approved arrangement in place is the failure mode this row exists to prevent: the approval attaches to the terms, so changed terms need a fresh one.</t>
  </si>
  <si>
    <t>Both of this area's matrix gaps sit here, and the audience is unusual: the unaffiliated directors as well as the Board.</t>
  </si>
  <si>
    <t>Cron, per the Board and committee cycle, and annually for the arrangement reviews.</t>
  </si>
  <si>
    <t>1: management commentary, and anything the register does not show.</t>
  </si>
  <si>
    <t>1: assemble open conflicts and their responses, arrangements with their benchmarks and review outcomes, and training completion, then route to the Board and to the unaffiliated directors.</t>
  </si>
  <si>
    <t>1: the conflicts and related party measures.</t>
  </si>
  <si>
    <t>The related-party and conflicts report.</t>
  </si>
  <si>
    <t>To the Board and the unaffiliated directors.</t>
  </si>
  <si>
    <t>This is the most scrutinised area in the application, and the register is empty. The initial population of the known structural conflicts is the real work here, not the tooling: two Retender co-founders as executives, brokerage on business the Company helps place, and a cornerstone investor director. If the register is empty at lodgement the tooling does not help, which is the same shape as the obligations population.</t>
  </si>
  <si>
    <t>The area that did not exist until the OPS-1 §7 sweep. The risk register is described in §7 as a system the Company has and was absent from the seventy-four artefacts, because the inventory found what governance documents assert rather than what the business runs.</t>
  </si>
  <si>
    <t xml:space="preserve">   The risk</t>
  </si>
  <si>
    <t>Identifying a risk</t>
  </si>
  <si>
    <t>Raised by a person, or drafted by AI from a document, with duplicates flagged rather than created.</t>
  </si>
  <si>
    <t>Risk register</t>
  </si>
  <si>
    <t>Input: a person raises one, or a business document, proposal, plan or policy is read by the AI capability. Also input, from an incident, an audit finding or a control failure.</t>
  </si>
  <si>
    <t>1: risk capture, with the cause and the exposure it creates.</t>
  </si>
  <si>
    <t>1: AI reads the document and identifies the risks it raises, flags candidates already on the register, and proposes an owner; a person adds, discards, merges or reassigns before anything is recorded.</t>
  </si>
  <si>
    <t>1: a slice of the risk measures, showing what was raised and from where.</t>
  </si>
  <si>
    <t>n/a: RSK-1 is the strategy and sits in the suite.</t>
  </si>
  <si>
    <t>Built, and the only thing in this area that is. The register it writes to was absent from the inventory entirely, because no governance document asserts the risk register as an artefact to be built even though OPS-1 §7 describes it as a system the Company has.</t>
  </si>
  <si>
    <t>Assessing and rating a risk</t>
  </si>
  <si>
    <t>Rating without recording the basis is the failure mode: the number survives and the reasoning does not.</t>
  </si>
  <si>
    <t>Risk register: rating, basis, appetite category, review date</t>
  </si>
  <si>
    <t>Input: a risk recorded. Also input, where an incident or a control failure changes the exposure.</t>
  </si>
  <si>
    <t>n/a: the rating is a task on the risk already captured.</t>
  </si>
  <si>
    <t>1: the owner or AI proposes a rating, the system checks which appetite category it falls in, the CRO confirms, and the rating is recorded with its basis.</t>
  </si>
  <si>
    <t>1: risks by rating and by appetite category.</t>
  </si>
  <si>
    <t>The appetite check is the join to RSK-2: seventeen appetite categories exist and nothing currently maps a rated risk to the category it consumes.</t>
  </si>
  <si>
    <t>Reviewing a risk</t>
  </si>
  <si>
    <t>Reassess, confirm the treatments operate, or close with a reason.</t>
  </si>
  <si>
    <t>Cron, from each risk's review date. Also input, on a material change in the exposure.</t>
  </si>
  <si>
    <t>n/a: confirmation is the reviewer's task.</t>
  </si>
  <si>
    <t>1: the review shape. Reassess the rating, confirm treatments are operating, or close the risk with a reason recorded.</t>
  </si>
  <si>
    <t>1: a slice of the risk measures, showing reviews due and overdue.</t>
  </si>
  <si>
    <t>Closing a risk with a reason is what stops the register growing monotonically, which is the usual fate of a risk register nobody is allowed to close anything on.</t>
  </si>
  <si>
    <t>Treating a risk</t>
  </si>
  <si>
    <t>Closure shape again, its eighth instance.</t>
  </si>
  <si>
    <t>Risk treatments and actions</t>
  </si>
  <si>
    <t>Input: a treatment agreed during assessment or review.</t>
  </si>
  <si>
    <t>1: treatment progress and closure evidence.</t>
  </si>
  <si>
    <t>1: owner, target date, progress, evidence, acceptance or reopen, with overdue escalation.</t>
  </si>
  <si>
    <t>1: a slice of the risk measures, showing treatments by age and anything overdue.</t>
  </si>
  <si>
    <t>Identical in shape to audit findings, resilience gaps, data quality issues, incident remediation, controls assurance remediation and privacy findings. Eight instances of one workflow.</t>
  </si>
  <si>
    <t>The register by rating, movements, treatments, and exposure against each appetite statement.</t>
  </si>
  <si>
    <t>1: management commentary on movements and on anything the ratings do not show.</t>
  </si>
  <si>
    <t>1: assemble the register by rating, movements since last cycle, treatment status and appetite exposure, then route to the Risk Committee.</t>
  </si>
  <si>
    <t>1: the risk measures the report draws on.</t>
  </si>
  <si>
    <t>The periodic risk report.</t>
  </si>
  <si>
    <t>To the Risk Committee and the Board.</t>
  </si>
  <si>
    <t>RSK-1 and RSK-2 both assume this reporting happens. The appetite exposure half cannot be produced until a rated risk maps to an appetite category, which is the join named two rows above.</t>
  </si>
  <si>
    <t>The area every other area's reporting row points into. Its own build is small: a delegation register held as data, and a roll-up view over decisions the engine already records.</t>
  </si>
  <si>
    <t xml:space="preserve">   Delegations</t>
  </si>
  <si>
    <t>Setting or changing a delegation</t>
  </si>
  <si>
    <t>A limit changed in a policy document and not in the system is a delegation that reads correctly and operates wrongly.</t>
  </si>
  <si>
    <t>Delegation register</t>
  </si>
  <si>
    <t>Input: the Board sets or amends a delegation. Also cron, a periodic review that the limits still fit the business.</t>
  </si>
  <si>
    <t>1: the delegation, its limits and its conditions.</t>
  </si>
  <si>
    <t>1: the Board approves, the delegation is versioned with the approval reference, and the authority checks that relied on the prior version are re-pointed.</t>
  </si>
  <si>
    <t>1: a slice of the Board oversight measures, showing delegations and their limits.</t>
  </si>
  <si>
    <t>n/a: GOV-6 and GOV-7 are the documents and sit in the suite.</t>
  </si>
  <si>
    <t>Holding delegations as data rather than prose is what lets a payment or an underwriting decision be checked against a limit at the moment it is taken, which is the only point at which the check is worth anything.</t>
  </si>
  <si>
    <t>Exercising an authority</t>
  </si>
  <si>
    <t>Thin by design: if an authority exercise is a task, both logs are views over what the engine already records.</t>
  </si>
  <si>
    <t>The engine's decision log</t>
  </si>
  <si>
    <t>Input: a decision taken under a reserved power or a delegation.</t>
  </si>
  <si>
    <t>1: the decision and its basis.</t>
  </si>
  <si>
    <t>1: the authorised role records the decision, the system confirms dual authorisation where the delegation requires it and checks the limit, and the record goes to the engine's log.</t>
  </si>
  <si>
    <t>1: decisions taken under delegation against their limits.</t>
  </si>
  <si>
    <t>The reserved-powers record and the delegated authority log were two register items. They are the same record filtered two ways, which is why the build here is one roll-up view rather than two stores.</t>
  </si>
  <si>
    <t xml:space="preserve">   The Board cycle</t>
  </si>
  <si>
    <t>Running a Board or committee cycle</t>
  </si>
  <si>
    <t>One calendar, four committees, and the CRO declaration attached to the risk cycle.</t>
  </si>
  <si>
    <t>Board pack; minutes and resolutions</t>
  </si>
  <si>
    <t>Cron, per each committee's meeting schedule.</t>
  </si>
  <si>
    <t>1: management commentary and any matter a member wants tabled.</t>
  </si>
  <si>
    <t>2: agenda assembly with committee routing and the CRO's per-cycle declaration; and the pack generation, issue, and recording of minutes and resolutions.</t>
  </si>
  <si>
    <t>1: matters open by committee, and papers issued on time.</t>
  </si>
  <si>
    <t>The papers, and the minutes.</t>
  </si>
  <si>
    <t>To the Board and each committee.</t>
  </si>
  <si>
    <t>The committee routing rule automatically identifies matters owned by a CRO function and sends them to the Risk Committee, which is what stops the routing being a memory exercise in a twenty-person company.</t>
  </si>
  <si>
    <t>Assessing the Board and its committees</t>
  </si>
  <si>
    <t>Annual, and the one process where the assessors are also the subject.</t>
  </si>
  <si>
    <t>Self-assessment responses and the outcome</t>
  </si>
  <si>
    <t>Cron, annual, fanned out per committee then per member.</t>
  </si>
  <si>
    <t>1: the member's responses.</t>
  </si>
  <si>
    <t>1: the attestation shape collects responses, the system aggregates, and the Chair tables the outcome.</t>
  </si>
  <si>
    <t>1: completion and anything outstanding.</t>
  </si>
  <si>
    <t>The self-assessment outcome paper.</t>
  </si>
  <si>
    <t>GOV-5 requires it. Independence of the process matters more than its mechanics, and holding the responses separately from the aggregate is the part worth designing.</t>
  </si>
  <si>
    <t>The Board's own view, as distinct from each area reporting into it.</t>
  </si>
  <si>
    <t>Cron, per the Board cycle.</t>
  </si>
  <si>
    <t>1: commentary.</t>
  </si>
  <si>
    <t>1: assemble the appetite and indicator set, matters open, and each area's report into one pack.</t>
  </si>
  <si>
    <t>1: the Board oversight measures.</t>
  </si>
  <si>
    <t>The Board pack.</t>
  </si>
  <si>
    <t>To the Board.</t>
  </si>
  <si>
    <t>This row is the destination for almost every other area's reporting row, which is why the Risk Appetite Statement dashboard and the KRI set sit in this area rather than in Risk management: they are what the Board reads rather than what the CRO maintains.</t>
  </si>
  <si>
    <t>Outsourced initially, which is why ownership escalates to the Audit Committee Chair and why the function is also a material service provider subject to the provider processes.</t>
  </si>
  <si>
    <t xml:space="preserve">   The audit cycle</t>
  </si>
  <si>
    <t>Planning the audit cycle</t>
  </si>
  <si>
    <t>Risk-based, and covering a three-year rolling cycle rather than a year at a time.</t>
  </si>
  <si>
    <t>Audit plan and rolling cycle tracking</t>
  </si>
  <si>
    <t>Cron, annual for the plan. Also input, where a risk or an incident makes an unplanned engagement necessary.</t>
  </si>
  <si>
    <t>1: the proposed plan and its rationale.</t>
  </si>
  <si>
    <t>1: coverage assembled against the three-year cycle, the Head of Internal Audit drafts the risk-based plan, and the Audit Committee approves.</t>
  </si>
  <si>
    <t>1: coverage against the rolling cycle.</t>
  </si>
  <si>
    <t>The approved plan.</t>
  </si>
  <si>
    <t>GOV-8 names ICAAP, data governance and information security as the three-year rolling coverage. Internal audit is outsourced initially, so ownership escalates to the Audit Committee Chair rather than sitting with a role that does not exist.</t>
  </si>
  <si>
    <t>Running an engagement</t>
  </si>
  <si>
    <t>Scope, fieldwork, evidence, findings.</t>
  </si>
  <si>
    <t>Engagement records and findings</t>
  </si>
  <si>
    <t>Input: an engagement scheduled by the plan, or called unplanned.</t>
  </si>
  <si>
    <t>1: findings, ratings and agreed actions.</t>
  </si>
  <si>
    <t>1: the assessment shape, with the provider performing the fieldwork and the Audit Committee accepting the report.</t>
  </si>
  <si>
    <t>1: engagements complete against plan.</t>
  </si>
  <si>
    <t>The engagement report.</t>
  </si>
  <si>
    <t>To the Audit Committee.</t>
  </si>
  <si>
    <t>The June 2027 audit is of the build rather than of operations, which is a different thing from the three-year cycle that starts once the Company is operating.</t>
  </si>
  <si>
    <t xml:space="preserve">   The finding</t>
  </si>
  <si>
    <t>Closing a finding</t>
  </si>
  <si>
    <t>The ninth instance of the closure shape.</t>
  </si>
  <si>
    <t>Audit findings and closure tracking</t>
  </si>
  <si>
    <t>Input: a finding raised by an engagement.</t>
  </si>
  <si>
    <t>1: progress, closure evidence.</t>
  </si>
  <si>
    <t>1: owner, agreed date, evidence, acceptance or reopen, with overdue escalation to the Audit Committee.</t>
  </si>
  <si>
    <t>1: findings open by age and rating, and closures overdue.</t>
  </si>
  <si>
    <t>Tracked in the incident store until volume justifies its own view, per the inventory's reasoning for putting it in the twelve-month group.</t>
  </si>
  <si>
    <t>Plan progress, findings, and the assessment of the arrangements themselves.</t>
  </si>
  <si>
    <t>Cron, per the Audit Committee cycle.</t>
  </si>
  <si>
    <t>1: assemble plan progress, findings by rating, closures and the periodic assessment of the arrangements.</t>
  </si>
  <si>
    <t>1: the audit measures.</t>
  </si>
  <si>
    <t>The internal audit report.</t>
  </si>
  <si>
    <t>Both of this area's matrix gaps sat here. The periodic assessment of the arrangements is the part easily forgotten: an outsourced internal audit function has to be assessed as a provider as well as relied on as a function.</t>
  </si>
  <si>
    <t>The area where the operating model is most novel and the governance least precedented. The third response-plan scenario in information security, an AI system operating outside its function, has no external precedent to lean on either.</t>
  </si>
  <si>
    <t xml:space="preserve">   The AI use case</t>
  </si>
  <si>
    <t>Registering an AI use case</t>
  </si>
  <si>
    <t>The first question any reviewer asks of an AI-native insurer, and the register had no way in.</t>
  </si>
  <si>
    <t>AI and ML systems inventory; the automated-decision determination</t>
  </si>
  <si>
    <t>Input: a new model, a new use of an existing model, or a new provider.</t>
  </si>
  <si>
    <t>1: registration, with the decision it influences and the human-in-the-loop control.</t>
  </si>
  <si>
    <t>1: the CTO registers, AI drafts the automated-decision analysis and the disclosure that follows, the CRO determines, and the disclosure obligation and monitoring are set.</t>
  </si>
  <si>
    <t>1: use cases by decision type and their controls.</t>
  </si>
  <si>
    <t>n/a: the disclosure reaches the customer through the decision itself rather than through a return.</t>
  </si>
  <si>
    <t>The determination drives a customer-facing disclosure, which is why it has to happen before the first decision rather than being reconstructed after it.</t>
  </si>
  <si>
    <t>Changing or revalidating a model</t>
  </si>
  <si>
    <t>A model, prompt or provider change re-opens the determination rather than inheriting it.</t>
  </si>
  <si>
    <t>AI and ML systems inventory; prompt versions</t>
  </si>
  <si>
    <t>Input: a model, prompt or provider change. Also cron, a periodic revalidation.</t>
  </si>
  <si>
    <t>n/a: the change arrives against the registered use case.</t>
  </si>
  <si>
    <t>1: the review shape, re-running the determination and confirming the human-in-the-loop control still fits.</t>
  </si>
  <si>
    <t>1: changes and revalidations, and anything unrevalidated.</t>
  </si>
  <si>
    <t>Prompt versioning is built and ties a logged decision to the prompt that produced it. What is missing is the step that treats a prompt change as a governance event rather than a deployment.</t>
  </si>
  <si>
    <t xml:space="preserve">   Decisioning</t>
  </si>
  <si>
    <t>Monitoring AI decisioning</t>
  </si>
  <si>
    <t>The highest-frequency write in the register, feeding the one appetite category this operating model introduces.</t>
  </si>
  <si>
    <t>The engine's decision log, rolled up</t>
  </si>
  <si>
    <t>Cron, continuous. Also input, where an override rate or a confidence distribution crosses a threshold.</t>
  </si>
  <si>
    <t>n/a: the log is written by every AI-assisted workflow rather than entered.</t>
  </si>
  <si>
    <t>1: recompute the indicators, compare to the appetite thresholds, and raise a breach event where one is crossed.</t>
  </si>
  <si>
    <t>1: decisions by use case, override and amendment rates, confidence distribution, and appetite exposure.</t>
  </si>
  <si>
    <t>Capture is complete per decision including the rendered prompt. What is missing is the roll-up across workflows, which is the form both the audit trail and the KRI feed actually need.</t>
  </si>
  <si>
    <t>AI decisioning reaches the Board through the KRI set rather than a separate return.</t>
  </si>
  <si>
    <t>Cron, per the Board and Risk Committee cycle.</t>
  </si>
  <si>
    <t>1: assemble use cases, override rates and appetite exposure into the risk report.</t>
  </si>
  <si>
    <t>1: the AI decisioning measures.</t>
  </si>
  <si>
    <t>n/a: no regulator receives an AI return. The disclosure obligation is to the customer, at the point of the decision.</t>
  </si>
  <si>
    <t>The area also carries an open question rather than a gap: whether a standalone AI policy is needed at all, given RSK-1 §4 carries the appetite and OPS-1 §7 the architecture.</t>
  </si>
  <si>
    <t>Elevated throughout by the operating model: digital only, no call centre and no email inbox, so there is no manual channel for anything here to fall back on.</t>
  </si>
  <si>
    <t xml:space="preserve">   Personal information</t>
  </si>
  <si>
    <t>Recording what personal information is held</t>
  </si>
  <si>
    <t>APP 1 requires the Company to be able to say what it holds and why. Nothing in the register held it.</t>
  </si>
  <si>
    <t>Personal information holdings; consent and collection notices</t>
  </si>
  <si>
    <t>Input: a new collection point, a new data use, or a change to an existing one. Also cron, a periodic confirmation that the record matches what the systems actually hold.</t>
  </si>
  <si>
    <t>1: the holding, its purpose, its lawful basis and its retention class.</t>
  </si>
  <si>
    <t>1: the owner records it, AI drafts the lawful basis and the retention class from the purpose, the CRO confirms, and the collection notice that must be given is set.</t>
  </si>
  <si>
    <t>1: holdings by class, and anything without a lawful basis recorded.</t>
  </si>
  <si>
    <t>The collection notice given to the customer, versioned.</t>
  </si>
  <si>
    <t>A digital-only insurer collects at one point and uses in many, so the gap between what a notice says and what the systems do is the thing that needs a record rather than a policy statement.</t>
  </si>
  <si>
    <t xml:space="preserve">   The assessment</t>
  </si>
  <si>
    <t>Assessing a privacy impact</t>
  </si>
  <si>
    <t>Input-triggered rather than scheduled, which makes it a variant of the assessment shape.</t>
  </si>
  <si>
    <t>Privacy impact assessment register</t>
  </si>
  <si>
    <t>Input: a new or materially changed project, product or data use.</t>
  </si>
  <si>
    <t>1: the assessment, its data flows and its findings.</t>
  </si>
  <si>
    <t>1: the assessment is opened, AI drafts against the project record and the holdings, the privacy owner assesses, the CRO endorses, and findings go to closure.</t>
  </si>
  <si>
    <t>1: assessments open and findings outstanding.</t>
  </si>
  <si>
    <t>n/a: the Board sees it through reporting rather than through a return.</t>
  </si>
  <si>
    <t>Findings feed the closure shape, its tenth instance.</t>
  </si>
  <si>
    <t xml:space="preserve">   The request</t>
  </si>
  <si>
    <t>Handling a data subject request</t>
  </si>
  <si>
    <t>No call centre and no email inbox means the digital intake is the only channel, from the first customer.</t>
  </si>
  <si>
    <t>Request records with the statutory clock</t>
  </si>
  <si>
    <t>Input: an access or correction request through the digital intake.</t>
  </si>
  <si>
    <t>1: the request, and the identity verification.</t>
  </si>
  <si>
    <t>1: log and start the clock, verify identity, locate the data across systems, AI drafts the response, the privacy owner approves, respond and record.</t>
  </si>
  <si>
    <t>1: requests by type against the statutory clock.</t>
  </si>
  <si>
    <t>The response given.</t>
  </si>
  <si>
    <t>Locating the data across systems is the step that depends on the holdings record above: without it the search is a manual sweep of every system, inside a statutory deadline.</t>
  </si>
  <si>
    <t xml:space="preserve">   Retention</t>
  </si>
  <si>
    <t>Retaining and destroying</t>
  </si>
  <si>
    <t>An insurer's retention runs for years, which is why the schedule has to be data rather than a policy paragraph.</t>
  </si>
  <si>
    <t>Retention and destruction schedule; destruction records</t>
  </si>
  <si>
    <t>Cron, per retention class. Also input, on a request or an event that shortens or extends a period.</t>
  </si>
  <si>
    <t>n/a: destruction runs from the schedule rather than being requested.</t>
  </si>
  <si>
    <t>1: identify holdings past their retention date, apply destruction or de-identification, and record what was destroyed and when.</t>
  </si>
  <si>
    <t>1: anything past its retention date, and destruction completed.</t>
  </si>
  <si>
    <t>APP 11.2 requires destruction or de-identification once the information is no longer needed. A schedule nobody executes is worse than none, because it evidences an obligation the Company knew about.</t>
  </si>
  <si>
    <t>Privacy reaches the Board through the risk and incident reporting rather than a return.</t>
  </si>
  <si>
    <t>1: assemble requests against the clock, assessments and findings, and retention exceptions.</t>
  </si>
  <si>
    <t>1: the privacy measures.</t>
  </si>
  <si>
    <t>n/a: a notifiable data breach files through the incident area's notification row, not from here.</t>
  </si>
  <si>
    <t>The area matrix recorded no return needed, which remains right: the only privacy filing is a breach notification, and that belongs to the incident lifecycle.</t>
  </si>
  <si>
    <t>Screening applies regardless of whether the AML/CTF designated-services regime does, which is why most of this area is dated ahead of that question being settled.</t>
  </si>
  <si>
    <t xml:space="preserve">   Screening</t>
  </si>
  <si>
    <t>Screening a customer, adviser or counterparty</t>
  </si>
  <si>
    <t>Fail-safe: an application cannot complete without a screening record against it.</t>
  </si>
  <si>
    <t>KYC and screening evidence records</t>
  </si>
  <si>
    <t>Input: an onboarding, a claim payment, a new reinsurance counterparty or a new material provider. Also cron, rescreening when a list changes.</t>
  </si>
  <si>
    <t>n/a: screening runs inside onboarding and claims rather than being requested.</t>
  </si>
  <si>
    <t>1: screen against sanctions, PEP and adverse media, record the result and the risk rating, and block completion where there is an unresolved hit.</t>
  </si>
  <si>
    <t>1: screening volumes and hit rates.</t>
  </si>
  <si>
    <t>Applies regardless of whether the designated-services regime applies, which is why it is dated ahead of the AML/CTF question being settled. It covers advisers, reinsurance counterparties and service providers, not only customers.</t>
  </si>
  <si>
    <t>Reviewing an alert</t>
  </si>
  <si>
    <t>A hit blocks onboarding until cleared, so clearance time is a customer-experience measure as well as a control one.</t>
  </si>
  <si>
    <t>Screening alert and clearance records</t>
  </si>
  <si>
    <t>Input: a screening hit or a transaction monitoring alert.</t>
  </si>
  <si>
    <t>1: the review outcome and its basis.</t>
  </si>
  <si>
    <t>1: false positive, escalate, or refuse, with the basis recorded and a refusal routed to the incident process where it engages a reporting obligation.</t>
  </si>
  <si>
    <t>1: alerts open and clearance times.</t>
  </si>
  <si>
    <t>Where an alert engages a reporting obligation it files through the incident area.</t>
  </si>
  <si>
    <t>The basis for clearing a hit is what an examiner reads, and it is the thing most often absent.</t>
  </si>
  <si>
    <t>Keeping the lists current</t>
  </si>
  <si>
    <t>A screening record against a stale list is evidence of a control that did not operate.</t>
  </si>
  <si>
    <t>List versions and rescreening records</t>
  </si>
  <si>
    <t>Cron, per list update cycle. Also input, when a list publisher issues a change.</t>
  </si>
  <si>
    <t>n/a: list updates arrive from the provider.</t>
  </si>
  <si>
    <t>1: confirm the lists are current, rescreen the existing book where a list changed, and record the version screened against.</t>
  </si>
  <si>
    <t>1: list currency and rescreening completed.</t>
  </si>
  <si>
    <t>Recording which list version a screening ran against is what makes a historical screening defensible. Nothing in the register held it.</t>
  </si>
  <si>
    <t xml:space="preserve">   The regime</t>
  </si>
  <si>
    <t>Maintaining the applicability analysis</t>
  </si>
  <si>
    <t>The document that justifies not building a full designated-services program.</t>
  </si>
  <si>
    <t>AML/CTF applicability analysis</t>
  </si>
  <si>
    <t>Cron, annual. Also input, on a product roadmap change: an investment-linked or annuity product changes the answer.</t>
  </si>
  <si>
    <t>1: the analysis and its conclusion.</t>
  </si>
  <si>
    <t>1: AI drafts against the current roadmap and regime, the CRO concludes, and the publish shape versions it.</t>
  </si>
  <si>
    <t>n/a: a single document does not need a measure.</t>
  </si>
  <si>
    <t>The applicability analysis.</t>
  </si>
  <si>
    <t>This is the one document in the suite whose conclusion decides whether a whole program is needed. It has to be current at the application.</t>
  </si>
  <si>
    <t>Conditional: no designated-services reporting applies on the current analysis.</t>
  </si>
  <si>
    <t>Cron, per the Risk Committee cycle.</t>
  </si>
  <si>
    <t>1: assemble screening and alert measures, list currency, and the applicability conclusion.</t>
  </si>
  <si>
    <t>1: the financial crime measures.</t>
  </si>
  <si>
    <t>n/a: conditional. If the regime applies, AUSTRAC reporting attaches and this becomes a return.</t>
  </si>
  <si>
    <t>The area matrix recorded the return as conditional rather than absent, and that remains right.</t>
  </si>
  <si>
    <t>Absent from the register until the OPS-1 §7 sweep, despite Product being a named system and repricing being a named capital exposure in RSK-2.</t>
  </si>
  <si>
    <t xml:space="preserve">   The product</t>
  </si>
  <si>
    <t>Defining or changing a product</t>
  </si>
  <si>
    <t>Versioned with an effective date, so a policy is always readable against the version in force when it was written.</t>
  </si>
  <si>
    <t>Product definitions and versions; rating tables; pricing calculators</t>
  </si>
  <si>
    <t>Input: a new product, or a change to an existing one.</t>
  </si>
  <si>
    <t>1: the product, its terms, eligibility, exclusions and rating basis.</t>
  </si>
  <si>
    <t>1: the CUO defines, AI drafts the disclosure and the obligations the product creates, the Board or CEO approves per the delegation, and the product is versioned with an effective date.</t>
  </si>
  <si>
    <t>1: products in force by version, and any policy written against a superseded version.</t>
  </si>
  <si>
    <t>The product disclosure the customer receives.</t>
  </si>
  <si>
    <t>The AI step matters because a new product creates obligations: CPL-1's applicability analysis turns on whether an investment-linked or annuity product launches, and that connection should be drawn at the moment the product is defined rather than found later.</t>
  </si>
  <si>
    <t>Retiring a product</t>
  </si>
  <si>
    <t>Closing to new business is not the same as ending it, and the in-force book continues for decades.</t>
  </si>
  <si>
    <t>Product definitions and versions</t>
  </si>
  <si>
    <t>Input: a decision to close a product to new business, or to cease it entirely.</t>
  </si>
  <si>
    <t>1: the decision and its effective date.</t>
  </si>
  <si>
    <t>1: close to new business, confirm the in-force book continues to be administered against the version in force, and record what replaced it for advisers.</t>
  </si>
  <si>
    <t>1: products closed and the in-force book still running on them.</t>
  </si>
  <si>
    <t>The Map's Exit stage, and here it is the substantive one: a life product closed today still has claims arriving in thirty years, so retirement means closing the front door rather than switching anything off.</t>
  </si>
  <si>
    <t xml:space="preserve">   Pricing</t>
  </si>
  <si>
    <t>Repricing</t>
  </si>
  <si>
    <t>Named in RSK-2 as one of the exposures that actually consumes capital, and there was no process for it anywhere.</t>
  </si>
  <si>
    <t>Rating tables; the repricing decision record</t>
  </si>
  <si>
    <t>Input: experience analysis showing the rates no longer hold. Also cron, a periodic pricing review.</t>
  </si>
  <si>
    <t>1: the decision, its evidence and the cohort it affects.</t>
  </si>
  <si>
    <t>1: AI assembles the experience analysis and the affected in-force cohort, the Appointed Actuary advises, the Board decides, and the new rates apply from an effective date.</t>
  </si>
  <si>
    <t>1: repricing history and the cohort each affected.</t>
  </si>
  <si>
    <t>The notification each affected policyholder receives.</t>
  </si>
  <si>
    <t>The customer notification is the part with the most exposure: a repricing that is correct and badly communicated is a complaints and conduct problem rather than a pricing one.</t>
  </si>
  <si>
    <t>Product performance reaches the Board through the business reporting rather than a return.</t>
  </si>
  <si>
    <t>1: assemble products in force, repricing history and experience against expectation.</t>
  </si>
  <si>
    <t>1: the product measures.</t>
  </si>
  <si>
    <t>Sits alongside the actuarial reporting rather than duplicating it: this row is the product view, the actuarial row is the portfolio view.</t>
  </si>
  <si>
    <t>Absent from the register until the §7 sweep. Commission had zero rows anywhere, despite LIF terms and the reinsurance initial commission being the two things holding the capital plan up.</t>
  </si>
  <si>
    <t xml:space="preserve">   The adviser</t>
  </si>
  <si>
    <t>Onboarding an adviser or dealer group</t>
  </si>
  <si>
    <t>Screening, authorisation and the commission scale, before any business is written.</t>
  </si>
  <si>
    <t>Adviser and dealer group records</t>
  </si>
  <si>
    <t>Input: an adviser or dealer group applies to write business.</t>
  </si>
  <si>
    <t>1: registration, with the authorisation, the arrangement and the scale.</t>
  </si>
  <si>
    <t>2: onboarding with due diligence, sanctions and politically-exposed-person screening, the CUO approving and portal access provisioned; and authorisation verification against the licensee.</t>
  </si>
  <si>
    <t>1: advisers by status and authorisation currency.</t>
  </si>
  <si>
    <t>The distribution agreement.</t>
  </si>
  <si>
    <t>An authorisation can be withdrawn after the adviser is on the book, which is why verification repeats rather than running once. s912DAB reporting on another licensee's representative is out of scope while advisers operate under their own licences, and that is a flagged assumption rather than a settled point.</t>
  </si>
  <si>
    <t>Offboarding an adviser</t>
  </si>
  <si>
    <t>The book continues after the adviser leaves it.</t>
  </si>
  <si>
    <t>Input: an adviser ceases, is banned, or moves licensee.</t>
  </si>
  <si>
    <t>1: the cessation and its reason.</t>
  </si>
  <si>
    <t>1: revoke portal access, settle or crystallise the commission and clawback position, reassign or orphan the book, and notify the affected customers where servicing changes.</t>
  </si>
  <si>
    <t>1: advisers ceased and books reassigned.</t>
  </si>
  <si>
    <t>The customer communication where servicing changes.</t>
  </si>
  <si>
    <t>An orphaned book is a servicing obligation the Company keeps, so this row ends with customers rather than with the adviser.</t>
  </si>
  <si>
    <t xml:space="preserve">   The proposition</t>
  </si>
  <si>
    <t>Configuring a persona</t>
  </si>
  <si>
    <t>The persona-based approach that replaces a ratings-house comparison, and the thing a reviewer will ask how the Company governs.</t>
  </si>
  <si>
    <t>Adviser persona configuration</t>
  </si>
  <si>
    <t>Input: a new persona, or a change to an existing one.</t>
  </si>
  <si>
    <t>1: the persona and its configuration.</t>
  </si>
  <si>
    <t>1: the CUO configures, AI drafts what the persona implies about suitability and disclosure, and the CUO approves before it is available.</t>
  </si>
  <si>
    <t>1: personas in use and their configuration versions.</t>
  </si>
  <si>
    <t>A persona shapes what cover a customer is shown, so it does the work a comparison rating used to do. Governing it as a product-adjacent artefact rather than a UI setting is the point of the row.</t>
  </si>
  <si>
    <t>Executing a bulk transfer</t>
  </si>
  <si>
    <t>The Big Block proposition, and it writes policies in volume rather than one at a time.</t>
  </si>
  <si>
    <t>Policy records; adviser book</t>
  </si>
  <si>
    <t>Input: a transfer file from an adviser or dealer group.</t>
  </si>
  <si>
    <t>1: the file, and the confirmation to proceed.</t>
  </si>
  <si>
    <t>1: validate the file, screen the customers, confirm with the adviser, and create the policies with an exception list for anything that could not be written.</t>
  </si>
  <si>
    <t>1: transfer volumes and exceptions.</t>
  </si>
  <si>
    <t>The customer communication each transferred policy requires.</t>
  </si>
  <si>
    <t>The exception list is the part that matters: a bulk transfer that half-succeeds leaves customers who believe they are covered and are not, which is the worst failure mode in the whole distribution model.</t>
  </si>
  <si>
    <t xml:space="preserve">   Commission</t>
  </si>
  <si>
    <t>Paying commission</t>
  </si>
  <si>
    <t>Central to the financing structure, and it had zero rows in the register.</t>
  </si>
  <si>
    <t>Commission payments and clawback</t>
  </si>
  <si>
    <t>Cron, per payment cycle. Also input, on a lapse inside the responsibility period.</t>
  </si>
  <si>
    <t>n/a: commission calculates from the scale and the policy rather than being entered.</t>
  </si>
  <si>
    <t>1: calculate against the scale, pay, and raise a clawback where a policy lapses inside the responsibility period.</t>
  </si>
  <si>
    <t>1: commission paid, and clawback outstanding.</t>
  </si>
  <si>
    <t>The commission statement.</t>
  </si>
  <si>
    <t>n/a: LIF is a conduct obligation rather than a return.</t>
  </si>
  <si>
    <t>Sixty per cent upfront and twenty per cent thereafter, with clawback on lapse inside the responsibility period. The clawback is real money and the register held nothing about it.</t>
  </si>
  <si>
    <t>Distribution performance and conduct, together.</t>
  </si>
  <si>
    <t>1: assemble new business and lapse by adviser, commission and clawback, and authorisation currency.</t>
  </si>
  <si>
    <t>1: the distribution measures.</t>
  </si>
  <si>
    <t>Lapse by adviser is the conduct measure hiding inside a performance report: it is the earliest signal of unsuitable advice, and it costs nothing extra to produce.</t>
  </si>
  <si>
    <t>The area with a structural vacancy at its centre: the Appointed Actuary role is unfilled, so ownership escalates to the CFO and sign-off on everything here is gated on filling it.</t>
  </si>
  <si>
    <t xml:space="preserve">   Assumptions</t>
  </si>
  <si>
    <t>Setting and changing assumptions</t>
  </si>
  <si>
    <t>A valuation is only reproducible if the assumptions it ran on are recoverable.</t>
  </si>
  <si>
    <t>Assumption set and change record; pricing models</t>
  </si>
  <si>
    <t>Input: an experience analysis, a market change, or a product change. Also cron, the annual assumption review.</t>
  </si>
  <si>
    <t>1: the assumption, its basis and the evidence.</t>
  </si>
  <si>
    <t>1: the Appointed Actuary proposes, AI drafts the impact on the in-force valuation and on pricing, and the change is versioned with its basis.</t>
  </si>
  <si>
    <t>1: the assumption set in force, and changes since the prior valuation.</t>
  </si>
  <si>
    <t>The Appointed Actuary role is vacant, so ownership escalates to the CFO and is recorded that way. That is a prerequisite rather than a build dependency, but it gates sign-off on everything in this area.</t>
  </si>
  <si>
    <t xml:space="preserve">   Valuation</t>
  </si>
  <si>
    <t>Running a valuation</t>
  </si>
  <si>
    <t>Reserving, the movement analysis, and the sign-off that makes it usable.</t>
  </si>
  <si>
    <t>Reserving and valuation results</t>
  </si>
  <si>
    <t>Cron, per valuation date.</t>
  </si>
  <si>
    <t>n/a: the run is a system task on the assumption set in force.</t>
  </si>
  <si>
    <t>1: run the models, produce the movement analysis against the prior date, the Appointed Actuary reviews and signs, and the result publishes into the return and the Board reporting.</t>
  </si>
  <si>
    <t>1: valuation movement by cause.</t>
  </si>
  <si>
    <t>The valuation report, and the Financial Condition Report annually.</t>
  </si>
  <si>
    <t>Into the APRA return and the AASB 17 disclosure.</t>
  </si>
  <si>
    <t>The movement analysis is the control: a result that cannot be explained by cause is a result nobody can sign.</t>
  </si>
  <si>
    <t>Analysing experience</t>
  </si>
  <si>
    <t>Actual against expected by cause, and the join that makes repricing evidenced rather than asserted.</t>
  </si>
  <si>
    <t>Experience analysis</t>
  </si>
  <si>
    <t>Cron, per analysis cycle. Also input, where a claims or lapse pattern moves.</t>
  </si>
  <si>
    <t>n/a: the analysis runs on the book rather than being entered.</t>
  </si>
  <si>
    <t>1: compare actual against expected by cause, and feed both the assumption set and the repricing decision.</t>
  </si>
  <si>
    <t>1: experience against expected by cause.</t>
  </si>
  <si>
    <t>The experience report.</t>
  </si>
  <si>
    <t>Gated at twelve months because there is no experience to analyse before there is a book, which is also why repricing sits at twelve months.</t>
  </si>
  <si>
    <t xml:space="preserve">   Capital</t>
  </si>
  <si>
    <t>Monitoring capital adequacy</t>
  </si>
  <si>
    <t>1.8 times PCA is the target and $10m is the statutory floor. The distance between them is the whole of the capital plan.</t>
  </si>
  <si>
    <t>Capital position, PCA and capital base</t>
  </si>
  <si>
    <t>Cron, per reporting period. Also input, on a material transaction or a valuation movement.</t>
  </si>
  <si>
    <t>n/a: computed rather than entered.</t>
  </si>
  <si>
    <t>1: recompute PCA and the capital base, compare to the 1.8 times target and the statutory minimum, and raise an event on a breach or an approach to one.</t>
  </si>
  <si>
    <t>1: capital position against target and minimum.</t>
  </si>
  <si>
    <t>Into the APRA return.</t>
  </si>
  <si>
    <t>An approach to breach matters more than a breach: the recovery actions in ACT-2 need time, so the trigger has to fire before the position is breached rather than when it is.</t>
  </si>
  <si>
    <t>Running the ICAAP cycle</t>
  </si>
  <si>
    <t>ACT-1 is the document. Nothing recorded the cycle operating.</t>
  </si>
  <si>
    <t>ICAAP cycle records</t>
  </si>
  <si>
    <t>Cron, annual. Also input, on a material change in the risk profile.</t>
  </si>
  <si>
    <t>1: the stresses applied and the Board's consideration.</t>
  </si>
  <si>
    <t>1: apply the stresses, assess the capital position under each, the Board considers and records its conclusion, and the actions that follow go to closure.</t>
  </si>
  <si>
    <t>1: a slice of the actuarial and capital measures.</t>
  </si>
  <si>
    <t>The ICAAP report.</t>
  </si>
  <si>
    <t>The register held ACT-1 as a document and nothing that evidenced the cycle running, which is the difference between having an ICAAP and doing one.</t>
  </si>
  <si>
    <t>The Appointed Actuary's reporting, and the capital position the Board reads.</t>
  </si>
  <si>
    <t>Cron, per valuation date and annually for the FCR.</t>
  </si>
  <si>
    <t>1: assemble the capital position, valuation movement and experience, and produce the actuarial reporting the Appointed Actuary and Board rely on.</t>
  </si>
  <si>
    <t>1: the actuarial and capital measures.</t>
  </si>
  <si>
    <t>The Financial Condition Report.</t>
  </si>
  <si>
    <t>Into the APRA return, and the FCR to the Board. [Confirm the LPS 320 timetable.]</t>
  </si>
  <si>
    <t>Whether the FCR timetable under LPS 320 binds at a particular date is flagged rather than asserted.</t>
  </si>
  <si>
    <t>Where the capital plan actually lives. Ninety-five per cent of insurance risk is ceded from the first policy, and the initial commission financing is what funds the first five years of Big Block sales.</t>
  </si>
  <si>
    <t xml:space="preserve">   The treaty</t>
  </si>
  <si>
    <t>Placing a treaty</t>
  </si>
  <si>
    <t>The capital plan runs through here: ninety-five per cent quota share and the initial commission financing.</t>
  </si>
  <si>
    <t>Treaty register</t>
  </si>
  <si>
    <t>Input: a new treaty, a renewal, or a change to an existing one.</t>
  </si>
  <si>
    <t>1: the treaty, its terms, retention, period and the reinsurer's rating.</t>
  </si>
  <si>
    <t>1: the CEO leads negotiation per the FAR exclusions, AI drafts the capital and counterparty effect, the Appointed Actuary advises, the Board approves, and the treaty is recorded as data the cession engine applies.</t>
  </si>
  <si>
    <t>1: treaties in force and their periods.</t>
  </si>
  <si>
    <t>The treaty and the term sheet.</t>
  </si>
  <si>
    <t>Holding treaty terms as data rather than as a signed document is what lets a cession be checked against the treaty at the moment it is made. ACT-4 is the term sheet; nothing held the treaties as data.</t>
  </si>
  <si>
    <t>Ending or replacing a treaty</t>
  </si>
  <si>
    <t>A treaty ends and the business ceded under it does not.</t>
  </si>
  <si>
    <t>Input: a treaty ends, is replaced, or a reinsurer is commuted.</t>
  </si>
  <si>
    <t>1: the ending and what replaced it.</t>
  </si>
  <si>
    <t>1: confirm what happens to business already ceded, place the replacement before the gap opens, and record the run-off position.</t>
  </si>
  <si>
    <t>1: treaties ending and any uncovered period.</t>
  </si>
  <si>
    <t>The Map's Exit stage, and here it has teeth: a gap between treaties is unceded risk on a book priced assuming it was ceded.</t>
  </si>
  <si>
    <t xml:space="preserve">   Cessions</t>
  </si>
  <si>
    <t>Ceding and recovering</t>
  </si>
  <si>
    <t>From the first policy, not from a threshold.</t>
  </si>
  <si>
    <t>Cession records; recoveries</t>
  </si>
  <si>
    <t>Cron, per treaty reporting frequency. Also input, per policy at inception and per claim at payment.</t>
  </si>
  <si>
    <t>n/a: cessions compute from the treaty and the policy.</t>
  </si>
  <si>
    <t>1: cede each policy under the treaty in force, compile the bordereau, issue it, and track recoveries to settlement.</t>
  </si>
  <si>
    <t>1: cessions by treaty, and recoveries outstanding by age.</t>
  </si>
  <si>
    <t>The bordereau and the reinsurance statement.</t>
  </si>
  <si>
    <t>Recovery ageing is the working-capital measure that matters most in this model: the Company pays claims and waits for ninety-five per cent of them back.</t>
  </si>
  <si>
    <t xml:space="preserve">   The counterparty</t>
  </si>
  <si>
    <t>Monitoring the counterparty</t>
  </si>
  <si>
    <t>RSK-2 names reinsurance counterparty as one of the exposures that consumes capital.</t>
  </si>
  <si>
    <t>Counterparty exposure and rating</t>
  </si>
  <si>
    <t>Cron. Also input, on a rating change or a delayed settlement.</t>
  </si>
  <si>
    <t>n/a: exposure computes from the cessions.</t>
  </si>
  <si>
    <t>1: recompute exposure and rating per reinsurer against the concentration limits, and raise an event where a limit or a rating threshold is crossed.</t>
  </si>
  <si>
    <t>1: counterparty exposure and rating against limits.</t>
  </si>
  <si>
    <t>A prudential notification where a counterparty position becomes material.</t>
  </si>
  <si>
    <t>The reinsurer is also a material service provider, so the provider processes in operational resilience apply to the relationship while this row covers the financial exposure.</t>
  </si>
  <si>
    <t>The financing position as well as the cessions.</t>
  </si>
  <si>
    <t>Cron, per treaty frequency and per reporting period.</t>
  </si>
  <si>
    <t>1: assemble cessions, recoveries and ageing, counterparty exposure, and the initial commission financing position against its repayment schedule.</t>
  </si>
  <si>
    <t>1: the reinsurance measures.</t>
  </si>
  <si>
    <t>The reinsurance statement.</t>
  </si>
  <si>
    <t>The financing position is the row that connects this area to the business plan: $79m of initial commission repaid over ten years per cohort at a fifteen per cent internal rate of return, and nothing in the register tracked it.</t>
  </si>
  <si>
    <t>The area the governance sweep could not see at all: no prudential standard asks for a tax register, so nothing asserted one. It now carries every statutory financial and tax deadline the Company has.</t>
  </si>
  <si>
    <t xml:space="preserve">   Money in</t>
  </si>
  <si>
    <t>Receiving and allocating money</t>
  </si>
  <si>
    <t>Unallocated cash is the measure that says whether the operating model works.</t>
  </si>
  <si>
    <t>Premium receipts and unallocated cash</t>
  </si>
  <si>
    <t>Input: money arrives. Cron, per collection cycle for direct debits.</t>
  </si>
  <si>
    <t>n/a: receipts arrive from the bank rather than being entered.</t>
  </si>
  <si>
    <t>1: match the receipt to the policy, hold what cannot be matched as unallocated, and hand a failed collection to the failed-payment workflow.</t>
  </si>
  <si>
    <t>1: unallocated cash and its ageing.</t>
  </si>
  <si>
    <t>A digital-only insurer with no call centre cannot phone a customer about an unmatched payment, so unallocated cash converts into a complaint faster here than at a traditional insurer.</t>
  </si>
  <si>
    <t xml:space="preserve">   Money out</t>
  </si>
  <si>
    <t>Paying money out</t>
  </si>
  <si>
    <t>Dual authorisation, against limits that live in the delegation register.</t>
  </si>
  <si>
    <t>Supplier payments and accounts payable; the payment run</t>
  </si>
  <si>
    <t>Input: an invoice or a payment request. Cron, per payment run and per payroll cycle.</t>
  </si>
  <si>
    <t>1: the invoice or request, and its approval.</t>
  </si>
  <si>
    <t>1: assemble the run, first authoriser approves, second confirms, and the system pays and posts. Limits are checked against the delegation register rather than a policy paragraph.</t>
  </si>
  <si>
    <t>1: payments pending authorisation, and anything paid outside a limit.</t>
  </si>
  <si>
    <t>Claims payments and commission payments run through their own workflows in other areas and post here. This row is supplier and operating payments.</t>
  </si>
  <si>
    <t xml:space="preserve">   The ledger</t>
  </si>
  <si>
    <t>Reconciling</t>
  </si>
  <si>
    <t>The claim that month-end reconciliation disappears is this row plus the data quality rules.</t>
  </si>
  <si>
    <t>Reconciliation records and exceptions</t>
  </si>
  <si>
    <t>Cron, daily for bank and continuously for control accounts.</t>
  </si>
  <si>
    <t>1: the exception and its resolution.</t>
  </si>
  <si>
    <t>1: reconcile each bank and control account to the ledger, raise exceptions above threshold, and clear them to closure.</t>
  </si>
  <si>
    <t>1: reconciliation status and exceptions by age.</t>
  </si>
  <si>
    <t>OPS-1 §2 commits to reconciliation being automatic rather than periodic. That is a testable claim only if the exceptions and their ageing are visible, which is why the dashboard is not optional here.</t>
  </si>
  <si>
    <t>Closing a period</t>
  </si>
  <si>
    <t>Month-end, and the statements that come out of it once a year.</t>
  </si>
  <si>
    <t>Ledger; statutory financial statements</t>
  </si>
  <si>
    <t>Cron, monthly for the close and annually for the statements.</t>
  </si>
  <si>
    <t>1: commentary and any manual journal, with its reason.</t>
  </si>
  <si>
    <t>2: the close, posting and reconciling with the CFO reviewing exceptions; and the annual statements with the audit.</t>
  </si>
  <si>
    <t>1: close status by period, and manual journals raised.</t>
  </si>
  <si>
    <t>The annual financial report.</t>
  </si>
  <si>
    <t>To ASIC, and into the APRA return.</t>
  </si>
  <si>
    <t>A manual journal is the exception the model is designed to eliminate, so counting them is the honest measure of whether it worked.</t>
  </si>
  <si>
    <t xml:space="preserve">   Tax</t>
  </si>
  <si>
    <t>Meeting tax obligations</t>
  </si>
  <si>
    <t>The Ledger's stated scope, and the register held nothing at all.</t>
  </si>
  <si>
    <t>Tax positions and lodgements</t>
  </si>
  <si>
    <t>Cron, per obligation: BAS quarterly or monthly, duty per policy at inception per state, PAYG per pay cycle, income tax annually.</t>
  </si>
  <si>
    <t>1: the position, and any judgement taken on it.</t>
  </si>
  <si>
    <t>1: compute the position, the CFO approves, lodge and pay, and record the lodgement and the reference.</t>
  </si>
  <si>
    <t>1: lodgements against their due dates.</t>
  </si>
  <si>
    <t>BAS, state duty returns, PAYG and the income tax return.</t>
  </si>
  <si>
    <t>Stamp duty is per state and per policy, which makes it a product and distribution matter as much as a finance one: the duty depends on where the policyholder is, and it has to be right at inception rather than reconciled later.</t>
  </si>
  <si>
    <t>Management reporting as well as statutory.</t>
  </si>
  <si>
    <t>Cron, monthly for management reporting and annually for statutory.</t>
  </si>
  <si>
    <t>1: assemble the result, the close status, reconciliation exceptions and the tax position.</t>
  </si>
  <si>
    <t>1: the finance operations measures.</t>
  </si>
  <si>
    <t>The management report, and the annual financial report.</t>
  </si>
  <si>
    <t>To the Board, ASIC and the ATO.</t>
  </si>
  <si>
    <t>This area had zero rows before the §7 sweep beyond the month-end close workflow, and it carries every statutory financial and tax deadline the Company has.</t>
  </si>
  <si>
    <t>The governance documents name a statutory fund segregation workflow and an investment system, and nothing else: no mandate, no limits, no custodian. With a single statutory fund and a 95% quota share the balance sheet is small, but the segregation obligation and the asset and liability match are statutory either way.</t>
  </si>
  <si>
    <t xml:space="preserve">   The mandate</t>
  </si>
  <si>
    <t>Setting and changing the mandate</t>
  </si>
  <si>
    <t>The asset side has to be built against the liability side, and one statutory fund makes that a single decision.</t>
  </si>
  <si>
    <t>Investment mandate and asset allocation</t>
  </si>
  <si>
    <t>Input: a proposed mandate or change. Cron, annually with the business plan and on a material change in the liability profile.</t>
  </si>
  <si>
    <t>1: the proposal, its rationale, and the limits proposed.</t>
  </si>
  <si>
    <t>1: AI drafts against the liability profile, the Appointed Actuary confirms the match, the Board approves, and the system publishes the limits into the daily monitor.</t>
  </si>
  <si>
    <t>1: asset and liability duration match, and the position against each limit.</t>
  </si>
  <si>
    <t>The investment mandate.</t>
  </si>
  <si>
    <t>The 95% quota share means the retained risk is small but the assets backing it still have to match liabilities that run for decades. Publishing the limits into the monitor is what stops the mandate being a document nobody checks against.</t>
  </si>
  <si>
    <t xml:space="preserve">   The portfolio</t>
  </si>
  <si>
    <t>Running the portfolio</t>
  </si>
  <si>
    <t>Daily limit checking, not a monthly pack.</t>
  </si>
  <si>
    <t>Portfolio holdings and valuation</t>
  </si>
  <si>
    <t>Cron, daily on valuation and limit checks; input: a trade or a cash movement.</t>
  </si>
  <si>
    <t>n/a: holdings and trades arrive from the custodian and the manager.</t>
  </si>
  <si>
    <t>2: value and reconcile to the custodian and the manager, clearing differences; and check every mandate limit, raising an event on a breach.</t>
  </si>
  <si>
    <t>1: position against each limit with headroom, liquidity coverage, and unreconciled differences by age.</t>
  </si>
  <si>
    <t>A limit breach is an event with an owner and a clock, not a line in a report. This is the same event store the incident capability uses, configured for a different type.</t>
  </si>
  <si>
    <t xml:space="preserve">   The manager</t>
  </si>
  <si>
    <t>Overseeing the manager</t>
  </si>
  <si>
    <t>External managers are material service providers, so two regimes meet here.</t>
  </si>
  <si>
    <t>External investment manager oversight</t>
  </si>
  <si>
    <t>Input: a proposed appointment. Cron, per review cycle and per performance reporting period.</t>
  </si>
  <si>
    <t>1: the due diligence, the performance assessment, and any issue raised.</t>
  </si>
  <si>
    <t>2: appointment with operational due diligence and Board approval; and the periodic review of performance, mandate compliance and control environment.</t>
  </si>
  <si>
    <t>1: manager performance against benchmark, and review status against cycle.</t>
  </si>
  <si>
    <t>The mandate and the investment management agreement.</t>
  </si>
  <si>
    <t>Where the manager is a material service provider the CPS 230 path in operational resilience governs the assessment, the contract terms and the exit plan. This row is the investment-specific overlay on it, not a second provider regime.</t>
  </si>
  <si>
    <t xml:space="preserve">   Custody</t>
  </si>
  <si>
    <t>Holding the assets</t>
  </si>
  <si>
    <t>Segregation is a statutory obligation, not an operational preference.</t>
  </si>
  <si>
    <t>Custody and asset segregation</t>
  </si>
  <si>
    <t>Cron, per confirmation cycle for custody holdings and quarterly for the segregation confirmation.</t>
  </si>
  <si>
    <t>1: the confirmation, and any exception found.</t>
  </si>
  <si>
    <t>1: confirm holdings with the custodian, confirm the statutory fund attribution of every asset, and raise an event where an asset is unattributed or misattributed.</t>
  </si>
  <si>
    <t>1: unattributed assets, and confirmation status by period.</t>
  </si>
  <si>
    <t>Into the APRA return and the Financial Condition Report.</t>
  </si>
  <si>
    <t>Life Act s38 requires assets to be held in the statutory fund they belong to. R8 already exists as a workflow; this row is the store and the confirmation it reads from, which the register did not have.</t>
  </si>
  <si>
    <t>To the Board, and into the actuarial and capital reporting.</t>
  </si>
  <si>
    <t>Cron, monthly to management, per Board cycle, and quarterly for the return.</t>
  </si>
  <si>
    <t>1: commentary and any explanation of a breach.</t>
  </si>
  <si>
    <t>1: assemble the position against mandate, manager performance, breaches raised and closed, and the segregation confirmation.</t>
  </si>
  <si>
    <t>1: the investment measures.</t>
  </si>
  <si>
    <t>The investment section of the Board pack.</t>
  </si>
  <si>
    <t>The investment position feeds the capital calculation and the Financial Condition Report, so this row is an input to Actuarial and capital rather than a parallel report.</t>
  </si>
  <si>
    <t>The two reporting workflows exist and are dated, and neither has a store behind it: nothing lists what the Company owes and when, and nothing records what was lodged. The calendar and the lineage are the gap, not the assembly.</t>
  </si>
  <si>
    <t>Recording an obligation</t>
  </si>
  <si>
    <t>Nothing lists what the Company owes and when. Every other row here depends on this one.</t>
  </si>
  <si>
    <t>Reporting obligation calendar</t>
  </si>
  <si>
    <t>Input: a new or changed reporting requirement. Cron, annually to confirm the set is complete.</t>
  </si>
  <si>
    <t>1: the obligation, its regime, frequency, due date rule and preparer.</t>
  </si>
  <si>
    <t>1: capture, confirm the due date rule against the standard, and the CFO approves the addition.</t>
  </si>
  <si>
    <t>1: the obligation set, and anything added or changed since the last confirmation.</t>
  </si>
  <si>
    <t>[QUESTION - design phase: whether the reporting obligation calendar is a view of the compliance obligations register rather than a second store. It is the same shape, and two stores of what the Company owes would have to be reconciled.]</t>
  </si>
  <si>
    <t xml:space="preserve">   The return</t>
  </si>
  <si>
    <t>Preparing and lodging a return</t>
  </si>
  <si>
    <t>The APRA return and the AASB 17 result, on the same path.</t>
  </si>
  <si>
    <t>Reporting data lineage; lodgement and submission records</t>
  </si>
  <si>
    <t>Cron, per return: quarterly and annually for APRA, per reporting period for AASB 17.</t>
  </si>
  <si>
    <t>1: exception explanations and any judgement taken.</t>
  </si>
  <si>
    <t>1: AI assembles from the ledger and the actuarial results, the system reconciles and checks lineage, the preparer clears exceptions, the CFO approves, and the system lodges and records it.</t>
  </si>
  <si>
    <t>1: obligations against due dates, and exceptions outstanding at lodgement.</t>
  </si>
  <si>
    <t>The return or statement itself.</t>
  </si>
  <si>
    <t>To APRA, ASIC and the ATO per obligation.</t>
  </si>
  <si>
    <t>Lodging with exceptions still open is the failure mode this row is designed to make visible: the dashboard shows exceptions at the moment of lodgement, not after.</t>
  </si>
  <si>
    <t>Correcting a lodged return</t>
  </si>
  <si>
    <t>A resubmission is a correction with a reason, not a quiet second attempt.</t>
  </si>
  <si>
    <t>Input: an error found in something already lodged.</t>
  </si>
  <si>
    <t>1: what was wrong, why, and the corrected figure.</t>
  </si>
  <si>
    <t>1: assess materiality, correct, the CFO approves, resubmit, and link the resubmission to the original.</t>
  </si>
  <si>
    <t>1: resubmissions with reasons, and time from discovery to resubmission.</t>
  </si>
  <si>
    <t>The resubmission, and a breach notification where the error is material.</t>
  </si>
  <si>
    <t>A material reporting error is also a breach, so this row hands off to Incident, breach and issue rather than carrying its own notification clock.</t>
  </si>
  <si>
    <t>Reporting on the reporting: what was owed, what was lodged, what was late.</t>
  </si>
  <si>
    <t>Cron, per Board cycle.</t>
  </si>
  <si>
    <t>1: assemble obligations, lodgements, lateness and resubmissions.</t>
  </si>
  <si>
    <t>1: the reporting measures.</t>
  </si>
  <si>
    <t>The reporting section of the Board pack.</t>
  </si>
  <si>
    <t>The Board needs to see that the calendar is complete as much as that the returns went in, which is why the confirmation on the first row above appears here too.</t>
  </si>
  <si>
    <t>Ten business workflows are named and dated, and until the §7 sweep this area had no stores at all: no policy record, no claim record, no complaint record. The workflows were listed as though they operated on nothing.</t>
  </si>
  <si>
    <t xml:space="preserve">   New business</t>
  </si>
  <si>
    <t>Selling and issuing a policy</t>
  </si>
  <si>
    <t>B1, and the AI decision record it produces.</t>
  </si>
  <si>
    <t>Application and underwriting record; policy record</t>
  </si>
  <si>
    <t>Input: an application. Cron, per follow-up cycle on an incomplete application.</t>
  </si>
  <si>
    <t>1: the application and its disclosures, from the customer or the adviser.</t>
  </si>
  <si>
    <t>1: assess, price, decide, and issue. AI decides within its authority and refers outside it; every decision records its inputs, its model version and the human who approved or overrode it.</t>
  </si>
  <si>
    <t>1: applications by stage and age, and the proportion decided without a human.</t>
  </si>
  <si>
    <t>The policy schedule and the product disclosure statement.</t>
  </si>
  <si>
    <t>Into the APRA return, and into the reinsurance cession.</t>
  </si>
  <si>
    <t>This is where the AI governance area's decision record actually gets written. A digital-only insurer with no call centre has no fallback channel when the referral path stalls, so age by stage is a service measure and a conduct measure at once.</t>
  </si>
  <si>
    <t xml:space="preserve">   Servicing</t>
  </si>
  <si>
    <t>Servicing and altering a policy</t>
  </si>
  <si>
    <t>B3, B7, and the correspondence that goes with them.</t>
  </si>
  <si>
    <t>Policy record; correspondence record</t>
  </si>
  <si>
    <t>Input: an alteration request. Cron, per renewal cycle and per anniversary.</t>
  </si>
  <si>
    <t>1: the request. Also self-service, which is the same form from the customer side.</t>
  </si>
  <si>
    <t>2: assess and apply the alteration, reprice where it changes risk; and the renewal cycle.</t>
  </si>
  <si>
    <t>1: alterations by type and turnaround.</t>
  </si>
  <si>
    <t>The revised schedule, and the renewal notice.</t>
  </si>
  <si>
    <t>An alteration that changes the risk re-enters underwriting, which is why this row hands back to the issuing row rather than deciding on its own.</t>
  </si>
  <si>
    <t>Collecting premium and losing a policy</t>
  </si>
  <si>
    <t>B4, B5, B6, and the money that arrives in Finance operations.</t>
  </si>
  <si>
    <t>Policy record; premium receipts</t>
  </si>
  <si>
    <t>Cron, per collection cycle, per grace period and per lapse date.</t>
  </si>
  <si>
    <t>n/a: collections and failures arrive from the bank.</t>
  </si>
  <si>
    <t>3: collection and failed payment with retries and notification; lapse at the end of the grace period; and reinstatement, which re-enters underwriting where the gap is long.</t>
  </si>
  <si>
    <t>1: collection success, failures in retry, and lapse and reinstatement rates.</t>
  </si>
  <si>
    <t>The failed payment notice, the lapse notice and the reinstatement confirmation.</t>
  </si>
  <si>
    <t>Lapse is the point where a digital-only model is most exposed: the notice is the only contact, and the lapse rate is both a conduct measure and a business plan assumption.</t>
  </si>
  <si>
    <t xml:space="preserve">   Claims</t>
  </si>
  <si>
    <t>Paying a claim</t>
  </si>
  <si>
    <t>B2, and the two regimes that attach to it.</t>
  </si>
  <si>
    <t>Claim record</t>
  </si>
  <si>
    <t>Input: a claim notification. Cron, per assessment review cycle and per service standard clock.</t>
  </si>
  <si>
    <t>1: the claim, the evidence, and the assessment.</t>
  </si>
  <si>
    <t>1: assess, run the AML check, decide, pay, and cede to the reinsurer. A declined claim routes to the complaints path.</t>
  </si>
  <si>
    <t>1: claims by stage against service standards, and decline rates.</t>
  </si>
  <si>
    <t>The claim decision letter.</t>
  </si>
  <si>
    <t>Into the APRA return and the reinsurance recovery.</t>
  </si>
  <si>
    <t>The AML check inside the claim is the financial crime area's control operating here, and the cession is the reinsurance area's. Neither is a separate process.</t>
  </si>
  <si>
    <t xml:space="preserve">   Complaints</t>
  </si>
  <si>
    <t>Handling a complaint</t>
  </si>
  <si>
    <t>B8, and the RG 271 clock.</t>
  </si>
  <si>
    <t>Complaint record</t>
  </si>
  <si>
    <t>Input: a complaint, from any channel. Cron, per RG 271 timeframe.</t>
  </si>
  <si>
    <t>1: the complaint and its resolution.</t>
  </si>
  <si>
    <t>1: acknowledge, investigate, decide and respond within the timeframe, escalating to AFCA where unresolved.</t>
  </si>
  <si>
    <t>1: complaints against the clock, by root cause and by product.</t>
  </si>
  <si>
    <t>The response letter, and the AFCA submission.</t>
  </si>
  <si>
    <t>To ASIC in the internal dispute resolution return.</t>
  </si>
  <si>
    <t>Root cause matters more than volume here: a complaint pattern is how a systemic issue surfaces, which is why this row feeds the issue path in Incident, breach and issue.</t>
  </si>
  <si>
    <t xml:space="preserve">   Distribution operations</t>
  </si>
  <si>
    <t>Onboarding an adviser and moving a book</t>
  </si>
  <si>
    <t>B9, and the only row here whose subject is not a customer.</t>
  </si>
  <si>
    <t>Adviser register; policy record</t>
  </si>
  <si>
    <t>Input: an adviser application or a bulk transfer request.</t>
  </si>
  <si>
    <t>1: the application, and the transfer instruction.</t>
  </si>
  <si>
    <t>1: verify authorisation and check the adviser register, then onboard; and the bulk transfer of a book with customer notification.</t>
  </si>
  <si>
    <t>1: advisers by status, and transfers in progress.</t>
  </si>
  <si>
    <t>The adviser agreement, and the transfer notification to each customer.</t>
  </si>
  <si>
    <t>Adviser vetting and remuneration sit in Distribution and adviser; this row is the operational onboarding and the book movement it enables.</t>
  </si>
  <si>
    <t xml:space="preserve">   Customer rights</t>
  </si>
  <si>
    <t>Responding to a data subject request</t>
  </si>
  <si>
    <t>B10, and the one business workflow driven by a statutory clock rather than a customer's product need.</t>
  </si>
  <si>
    <t>Data subject request records</t>
  </si>
  <si>
    <t>Input: a request. Cron, per statutory timeframe.</t>
  </si>
  <si>
    <t>1: the request, and what was provided.</t>
  </si>
  <si>
    <t>1: verify identity, locate the data across stores, decide on any exemption, respond within the timeframe, and record what was disclosed.</t>
  </si>
  <si>
    <t>1: requests against their timeframes.</t>
  </si>
  <si>
    <t>The response to the requester.</t>
  </si>
  <si>
    <t>Locating the data across stores is only possible if the data catalogue in Data governance is accurate, so this row is the practical test of that area's work.</t>
  </si>
  <si>
    <t>Service, conduct and volume, to the Board and into the return.</t>
  </si>
  <si>
    <t>Correspondence record; lodgement and submission records</t>
  </si>
  <si>
    <t>Cron, monthly to management and per Board cycle.</t>
  </si>
  <si>
    <t>1: assemble volumes, service standards, complaints, lapse and the decision mix.</t>
  </si>
  <si>
    <t>1: the customer service measures.</t>
  </si>
  <si>
    <t>The operations section of the Board pack.</t>
  </si>
  <si>
    <t>Into the APRA return and the internal dispute resolution return.</t>
  </si>
  <si>
    <t>The proportion of decisions made without human involvement is the business plan's central assumption, so it belongs in the Board pack rather than only in an operational dashboard.</t>
  </si>
  <si>
    <t>The platform, the five data shapes and the workflow engine are all built and listed as systems. What is missing is the operational discipline around them: no change record, no environment inventory, and no evidence that a restore was ever tested.</t>
  </si>
  <si>
    <t xml:space="preserve">   The asset</t>
  </si>
  <si>
    <t>Standing up or retiring an environment or service</t>
  </si>
  <si>
    <t>The inventory the resilience and security areas both assume exists.</t>
  </si>
  <si>
    <t>Environment and asset inventory</t>
  </si>
  <si>
    <t>Input: a new environment, service or dependency. Cron, per reconciliation against what is actually running.</t>
  </si>
  <si>
    <t>1: the asset, its owner, its criticality and what it supports.</t>
  </si>
  <si>
    <t>1: capture, classify criticality, link it to the critical operations it supports, and the CTO approves.</t>
  </si>
  <si>
    <t>1: assets by criticality, and anything running that is not in the inventory.</t>
  </si>
  <si>
    <t>Reconciling the inventory against what is actually deployed is the only thing that makes it trustworthy. A hand-maintained inventory of a cloud platform is wrong within a month.</t>
  </si>
  <si>
    <t xml:space="preserve">   Change</t>
  </si>
  <si>
    <t>Changing the platform</t>
  </si>
  <si>
    <t>No document in the set names a change record, and it is the single most consequential store in this area.</t>
  </si>
  <si>
    <t>Change and release record</t>
  </si>
  <si>
    <t>Input: a proposed change. Cron, per release cycle and per emergency change review window.</t>
  </si>
  <si>
    <t>1: the change, its rationale, its testing and its rollback plan.</t>
  </si>
  <si>
    <t>1: automated checks, the change owner requests, the CTO or delegate approves, the system releases and records the outcome. The emergency path approves after the fact within a fixed window.</t>
  </si>
  <si>
    <t>1: change failure rate, and changes released outside the approval path.</t>
  </si>
  <si>
    <t>An AI-native platform changes more often than a traditional one, which makes the change record more important rather than less: it is the evidence trail behind every other control's claim to have been operating.</t>
  </si>
  <si>
    <t xml:space="preserve">   Operation</t>
  </si>
  <si>
    <t>Running and monitoring the platform</t>
  </si>
  <si>
    <t>Availability against the objective, not availability in general.</t>
  </si>
  <si>
    <t>Environment and asset inventory; incident records</t>
  </si>
  <si>
    <t>Cron, continuous monitoring; input: an alert.</t>
  </si>
  <si>
    <t>n/a: alerts and telemetry arrive from the platform.</t>
  </si>
  <si>
    <t>1: detect, triage, and either self-heal or raise an incident.</t>
  </si>
  <si>
    <t>1: availability against objective per critical operation, and capacity headroom.</t>
  </si>
  <si>
    <t>The tolerance levels for each critical operation come from the operational resilience area; this row is where they are actually measured against.</t>
  </si>
  <si>
    <t>Testing recovery</t>
  </si>
  <si>
    <t>A backup that ran is not a backup that works.</t>
  </si>
  <si>
    <t>Backup and recovery test records</t>
  </si>
  <si>
    <t>Cron, per test cycle for restore and failover testing.</t>
  </si>
  <si>
    <t>1: the test, the recovery time achieved, and any gap found.</t>
  </si>
  <si>
    <t>1: run the restore or failover test, record the time achieved against the objective, and raise a gap where it was missed.</t>
  </si>
  <si>
    <t>1: recovery times achieved against RTO, and tests overdue.</t>
  </si>
  <si>
    <t>The test report.</t>
  </si>
  <si>
    <t>Into the resilience reporting to APRA.</t>
  </si>
  <si>
    <t>This is the same test execution store the resilience, security and business continuity programmes use, configured for a different test type. One store, four programmes.</t>
  </si>
  <si>
    <t xml:space="preserve">   The function inventory</t>
  </si>
  <si>
    <t>Keeping the function inventory current</t>
  </si>
  <si>
    <t>The one thing that would let any of this work be sized.</t>
  </si>
  <si>
    <t>Function inventory</t>
  </si>
  <si>
    <t>Cron, per release; input: a new function written.</t>
  </si>
  <si>
    <t>n/a: functions are registered as they are written.</t>
  </si>
  <si>
    <t>1: register the function, what it does and what calls it, and flag a workflow task pointing at a function that does not exist yet.</t>
  </si>
  <si>
    <t>1: functions written against functions the authored workflows require.</t>
  </si>
  <si>
    <t>The Technology Build Inventory concludes that the unit of work is the function rather than the artefact, and that the inventory does not exist. This row is what would close that, and it is the highest-leverage row in the whole register for planning purposes.</t>
  </si>
  <si>
    <t>Platform health to the Board, and resilience evidence to APRA.</t>
  </si>
  <si>
    <t>Change and release record; backup and recovery test records</t>
  </si>
  <si>
    <t>1: assemble availability, change failure rate, recovery test results and inventory reconciliation exceptions.</t>
  </si>
  <si>
    <t>1: the capacity and availability measures.</t>
  </si>
  <si>
    <t>The technology section of the Board pack.</t>
  </si>
  <si>
    <t>Into the CPS 230 reporting.</t>
  </si>
  <si>
    <t>The Board's information technology oversight obligation is discharged here, and the same evidence supports the resilience attestation.</t>
  </si>
  <si>
    <t>The suite is the licence application itself, and it is administered in a spreadsheet outside the platform. Every other area's documents are produced by this process, which makes it the one area whose failure is invisible until an assessor finds it.</t>
  </si>
  <si>
    <t xml:space="preserve">   The document</t>
  </si>
  <si>
    <t>Creating or revising a document</t>
  </si>
  <si>
    <t>The suite is the licence application, and it is currently managed in a spreadsheet.</t>
  </si>
  <si>
    <t>Document register; document versions</t>
  </si>
  <si>
    <t>Input: a new document or a revision. Cron, per document review cycle.</t>
  </si>
  <si>
    <t>1: the document, its owner, its approver and its review cycle.</t>
  </si>
  <si>
    <t>1: AI drafts or revises against the house style and the standards cited, the owner reviews, the named approver approves, and the system publishes the version and starts the next review clock.</t>
  </si>
  <si>
    <t>1: documents overdue for review, and documents with no approved version.</t>
  </si>
  <si>
    <t>The document itself.</t>
  </si>
  <si>
    <t>Renumbering the People category this month took a scripted sweep across forty-seven files to find sixty-nine cross-references. That is the cost of the suite living outside the platform.</t>
  </si>
  <si>
    <t>Retiring or superseding a document</t>
  </si>
  <si>
    <t>A withdrawn document that is still cross-referenced is a live problem.</t>
  </si>
  <si>
    <t>Document register; document coverage graph</t>
  </si>
  <si>
    <t>Input: a decision to withdraw or supersede.</t>
  </si>
  <si>
    <t>1: the reason, and what supersedes it.</t>
  </si>
  <si>
    <t>1: mark withdrawn with a reason, redirect the cross-references, and confirm nothing is left discharging nothing.</t>
  </si>
  <si>
    <t>1: cross-references pointing at a document that does not exist.</t>
  </si>
  <si>
    <t>The register keeps withdrawn documents rather than deleting them, on the same rule the build register uses: the number is never reused.</t>
  </si>
  <si>
    <t xml:space="preserve">   Coverage</t>
  </si>
  <si>
    <t>Confirming the suite covers the standards</t>
  </si>
  <si>
    <t>What an assessor does, done by the Company first.</t>
  </si>
  <si>
    <t>Document coverage graph</t>
  </si>
  <si>
    <t>Cron, before lodgement and annually thereafter; input: a new or amended prudential standard.</t>
  </si>
  <si>
    <t>1: the mapping of standard paragraph to document.</t>
  </si>
  <si>
    <t>1: map each standard paragraph to the document that discharges it, and raise a gap where none does.</t>
  </si>
  <si>
    <t>1: standard paragraphs no document discharges.</t>
  </si>
  <si>
    <t>The coverage assessment.</t>
  </si>
  <si>
    <t>Into the licence application.</t>
  </si>
  <si>
    <t>This is the document-suite equivalent of the area matrix in this register: the useful output is the list of blanks, not the list of coverage.</t>
  </si>
  <si>
    <t>Not a capability area. These are scheduled programme events, and the only process worth recording is how their results get into the system so the readiness view has something to read.</t>
  </si>
  <si>
    <t xml:space="preserve">   The activity</t>
  </si>
  <si>
    <t>Running a programme activity to completion</t>
  </si>
  <si>
    <t>The five activities in this area are scheduled events, not capabilities. What they share is a need for the result to be recorded somewhere the readiness view can read.</t>
  </si>
  <si>
    <t>Programme activity and milestone record</t>
  </si>
  <si>
    <t>Cron, per activity date. Input: the activity result.</t>
  </si>
  <si>
    <t>1: the result, the evidence, and any gap found.</t>
  </si>
  <si>
    <t>1: schedule, run, record the result and the evidence, and raise a gap where the activity did not achieve its objective.</t>
  </si>
  <si>
    <t>1: activities against their dates, and gaps raised and outstanding.</t>
  </si>
  <si>
    <t>The activity report: the test report, the audit report, the user testing summary.</t>
  </si>
  <si>
    <t>Test and audit results write to the same test execution and finding stores the resilience, security and audit areas use. Nothing new is built here; this row exists so the programme's own activities are not the one thing tracked outside the system.</t>
  </si>
  <si>
    <t xml:space="preserve">   The gate</t>
  </si>
  <si>
    <t>Reaching a gate</t>
  </si>
  <si>
    <t>The two gates the whole register is organised around.</t>
  </si>
  <si>
    <t>Cron, per gate date: lodgement, licence grant, go-live.</t>
  </si>
  <si>
    <t>1: the gate assessment and the sign-off.</t>
  </si>
  <si>
    <t>1: assemble what the gate requires, confirm each item is held, and the CEO signs off or names what is outstanding.</t>
  </si>
  <si>
    <t>1: gate items outstanding by gate, and anything on the critical path.</t>
  </si>
  <si>
    <t>The gate assessment.</t>
  </si>
  <si>
    <t>To APRA at lodgement.</t>
  </si>
  <si>
    <t>Licence grant and go-live are separate gates and are never conflated: go-live is the later of July 2027 and confirmed system testing, which is a condition rather than a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</si>
</sst>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0"/>
      <color rgb="FFFFFFFF"/>
      <name val="Calibri"/>
    </font>
    <font>
      <sz val="10"/>
      <name val="Calibri"/>
    </font>
    <font>
      <b/>
      <sz val="16"/>
      <color rgb="FF0F4761"/>
      <name val="Calibri"/>
    </font>
    <font>
      <b/>
      <sz val="10"/>
      <name val="Calibri"/>
    </font>
    <font>
      <b/>
      <sz val="13"/>
      <color rgb="FF0F4761"/>
      <name val="Calibri"/>
    </font>
    <font>
      <b/>
      <sz val="11"/>
      <color rgb="FF0F4761"/>
      <name val="Calibri"/>
    </font>
  </fonts>
  <fills count="10">
    <fill>
      <patternFill patternType="none"/>
    </fill>
    <fill>
      <patternFill patternType="gray125"/>
    </fill>
    <fill>
      <patternFill patternType="solid">
        <fgColor rgb="FF0F4761"/>
      </patternFill>
    </fill>
    <fill>
      <patternFill patternType="solid">
        <fgColor rgb="FFE2EFDA"/>
      </patternFill>
    </fill>
    <fill>
      <patternFill patternType="solid">
        <fgColor rgb="FFF2F2F2"/>
      </patternFill>
    </fill>
    <fill>
      <patternFill patternType="solid">
        <fgColor rgb="FFE7E6E6"/>
      </patternFill>
    </fill>
    <fill>
      <patternFill patternType="solid">
        <fgColor rgb="FFDDEBF7"/>
      </patternFill>
    </fill>
    <fill>
      <patternFill patternType="solid">
        <fgColor rgb="FFFCE4D6"/>
      </patternFill>
    </fill>
    <fill>
      <patternFill patternType="solid">
        <fgColor rgb="FFEDEDED"/>
      </patternFill>
    </fill>
    <fill>
      <patternFill patternType="solid">
        <fgColor rgb="FFFFF2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7">
    <xf numFmtId="0" fontId="0" fillId="0" borderId="0" xfId="0"/>
    <xf numFmtId="0" fontId="3" fillId="0" borderId="0" xfId="0" applyFont="1"/>
    <xf numFmtId="0" fontId="1" fillId="2" borderId="1" xfId="0" applyFont="1" applyFill="1" applyBorder="1" applyAlignment="1">
      <alignment vertical="top" wrapText="1"/>
    </xf>
    <xf numFmtId="0" fontId="4" fillId="0" borderId="1" xfId="0" applyFont="1" applyBorder="1" applyAlignment="1">
      <alignment vertical="top" wrapText="1"/>
    </xf>
    <xf numFmtId="0" fontId="2" fillId="3" borderId="1" xfId="0" applyFont="1" applyFill="1" applyBorder="1" applyAlignment="1">
      <alignment vertical="top" wrapText="1"/>
    </xf>
    <xf numFmtId="0" fontId="2" fillId="0" borderId="1" xfId="0" applyFont="1" applyBorder="1" applyAlignment="1">
      <alignment vertical="top" wrapText="1"/>
    </xf>
    <xf numFmtId="0" fontId="2" fillId="4" borderId="1" xfId="0" applyFont="1" applyFill="1" applyBorder="1" applyAlignment="1">
      <alignment vertical="top" wrapText="1"/>
    </xf>
    <xf numFmtId="0" fontId="4" fillId="7" borderId="1" xfId="0" applyFont="1" applyFill="1" applyBorder="1" applyAlignment="1">
      <alignment vertical="top" wrapText="1"/>
    </xf>
    <xf numFmtId="0" fontId="2" fillId="8" borderId="1" xfId="0" applyFont="1" applyFill="1" applyBorder="1" applyAlignment="1">
      <alignment vertical="top" wrapText="1"/>
    </xf>
    <xf numFmtId="0" fontId="2" fillId="9" borderId="1" xfId="0" applyFont="1" applyFill="1" applyBorder="1" applyAlignment="1">
      <alignment vertical="top" wrapText="1"/>
    </xf>
    <xf numFmtId="0" fontId="5" fillId="5" borderId="0" xfId="0" applyFont="1" applyFill="1"/>
    <xf numFmtId="0" fontId="6" fillId="0" borderId="0" xfId="0" applyFont="1"/>
    <xf numFmtId="0" fontId="2" fillId="6" borderId="1" xfId="0" applyFont="1" applyFill="1" applyBorder="1" applyAlignment="1">
      <alignment vertical="top" wrapText="1"/>
    </xf>
    <xf numFmtId="0" fontId="2" fillId="0" borderId="0" xfId="0" applyFont="1" applyAlignment="1">
      <alignment vertical="top" wrapText="1"/>
    </xf>
    <xf numFmtId="0" fontId="0" fillId="0" borderId="0" xfId="0"/>
    <xf numFmtId="0" fontId="4" fillId="0" borderId="0" xfId="0" applyFont="1" applyAlignment="1">
      <alignment vertical="top" wrapText="1"/>
    </xf>
    <xf numFmtId="0" fontId="2" fillId="5"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65"/>
  <sheetViews>
    <sheetView tabSelected="1" workbookViewId="0">
      <selection activeCell="B5" sqref="B5"/>
    </sheetView>
  </sheetViews>
  <sheetFormatPr defaultRowHeight="14.25" x14ac:dyDescent="0.45"/>
  <cols>
    <col min="1" max="1" width="24" customWidth="1"/>
    <col min="2" max="2" width="22" customWidth="1"/>
    <col min="3" max="3" width="26" customWidth="1"/>
    <col min="4" max="5" width="28" customWidth="1"/>
    <col min="6" max="6" width="20" customWidth="1"/>
    <col min="7" max="9" width="28" customWidth="1"/>
    <col min="10" max="10" width="20" customWidth="1"/>
  </cols>
  <sheetData>
    <row r="1" spans="1:10" ht="21" x14ac:dyDescent="0.65">
      <c r="A1" s="1" t="s">
        <v>33</v>
      </c>
    </row>
    <row r="2" spans="1:10" ht="80" customHeight="1" x14ac:dyDescent="0.45">
      <c r="A2" s="13" t="s">
        <v>34</v>
      </c>
      <c r="B2" s="14"/>
      <c r="C2" s="14"/>
      <c r="D2" s="14"/>
      <c r="E2" s="14"/>
      <c r="F2" s="14"/>
      <c r="G2" s="14"/>
      <c r="H2" s="14"/>
      <c r="I2" s="14"/>
      <c r="J2" s="14"/>
    </row>
    <row r="4" spans="1:10" x14ac:dyDescent="0.45">
      <c r="A4" s="2" t="s">
        <v>3</v>
      </c>
      <c r="B4" s="2" t="s">
        <v>35</v>
      </c>
      <c r="C4" s="2" t="s">
        <v>36</v>
      </c>
      <c r="D4" s="2" t="s">
        <v>37</v>
      </c>
      <c r="E4" s="2" t="s">
        <v>38</v>
      </c>
      <c r="F4" s="2" t="s">
        <v>39</v>
      </c>
      <c r="G4" s="2" t="s">
        <v>40</v>
      </c>
      <c r="H4" s="2" t="s">
        <v>41</v>
      </c>
      <c r="I4" s="2" t="s">
        <v>42</v>
      </c>
      <c r="J4" s="2" t="s">
        <v>43</v>
      </c>
    </row>
    <row r="5" spans="1:10" ht="76.05" customHeight="1" x14ac:dyDescent="0.45">
      <c r="A5" s="3" t="s">
        <v>14</v>
      </c>
      <c r="B5" s="3" t="s">
        <v>44</v>
      </c>
      <c r="C5" s="5" t="s">
        <v>45</v>
      </c>
      <c r="D5" s="4" t="str">
        <f>Processes!$A$7</f>
        <v>Creation of a role</v>
      </c>
      <c r="E5" s="7" t="s">
        <v>46</v>
      </c>
      <c r="F5" s="8" t="s">
        <v>47</v>
      </c>
      <c r="G5" s="7" t="s">
        <v>48</v>
      </c>
      <c r="H5" s="8" t="s">
        <v>49</v>
      </c>
      <c r="I5" s="8" t="s">
        <v>50</v>
      </c>
      <c r="J5" s="4" t="str">
        <f>Processes!$A$20</f>
        <v>Regular reporting</v>
      </c>
    </row>
    <row r="6" spans="1:10" ht="76.05" customHeight="1" x14ac:dyDescent="0.45">
      <c r="A6" s="3"/>
      <c r="B6" s="3" t="s">
        <v>51</v>
      </c>
      <c r="C6" s="9" t="s">
        <v>52</v>
      </c>
      <c r="D6" s="4" t="str">
        <f>Processes!$A$9</f>
        <v>Appointment of a person</v>
      </c>
      <c r="E6" s="4" t="str">
        <f>Processes!$A$10</f>
        <v>Departure and offboarding</v>
      </c>
      <c r="F6" s="8" t="s">
        <v>53</v>
      </c>
      <c r="G6" s="4" t="str">
        <f>Processes!$A$11</f>
        <v>Reassessing fitness and propriety</v>
      </c>
      <c r="H6" s="9" t="s">
        <v>54</v>
      </c>
      <c r="I6" s="8" t="s">
        <v>55</v>
      </c>
      <c r="J6" s="4" t="str">
        <f>Processes!$A$20</f>
        <v>Regular reporting</v>
      </c>
    </row>
    <row r="7" spans="1:10" ht="76.05" customHeight="1" x14ac:dyDescent="0.45">
      <c r="A7" s="3"/>
      <c r="B7" s="3" t="s">
        <v>56</v>
      </c>
      <c r="C7" s="9" t="s">
        <v>52</v>
      </c>
      <c r="D7" s="4" t="str">
        <f>Processes!$A$13</f>
        <v>Remuneration review</v>
      </c>
      <c r="E7" s="9" t="s">
        <v>57</v>
      </c>
      <c r="F7" s="4" t="str">
        <f>Processes!$A$14</f>
        <v>Remuneration payment</v>
      </c>
      <c r="G7" s="8" t="s">
        <v>58</v>
      </c>
      <c r="H7" s="9" t="s">
        <v>59</v>
      </c>
      <c r="I7" s="8" t="s">
        <v>60</v>
      </c>
      <c r="J7" s="4" t="str">
        <f>Processes!$A$20</f>
        <v>Regular reporting</v>
      </c>
    </row>
    <row r="8" spans="1:10" ht="76.05" customHeight="1" x14ac:dyDescent="0.45">
      <c r="A8" s="3"/>
      <c r="B8" s="3" t="s">
        <v>61</v>
      </c>
      <c r="C8" s="9" t="s">
        <v>52</v>
      </c>
      <c r="D8" s="4" t="str">
        <f>Processes!$A$16&amp;" and "&amp;Processes!$A$17</f>
        <v>Defining a training requirement and Authoring and maintaining training content</v>
      </c>
      <c r="E8" s="7" t="s">
        <v>62</v>
      </c>
      <c r="F8" s="4" t="str">
        <f>Processes!$A$18</f>
        <v>Issuing and tracking completion</v>
      </c>
      <c r="G8" s="8" t="s">
        <v>63</v>
      </c>
      <c r="H8" s="8" t="s">
        <v>64</v>
      </c>
      <c r="I8" s="8" t="s">
        <v>65</v>
      </c>
      <c r="J8" s="9" t="s">
        <v>66</v>
      </c>
    </row>
    <row r="9" spans="1:10" ht="76.05" customHeight="1" x14ac:dyDescent="0.45">
      <c r="A9" s="3" t="s">
        <v>8</v>
      </c>
      <c r="B9" s="3" t="s">
        <v>67</v>
      </c>
      <c r="C9" s="5" t="s">
        <v>68</v>
      </c>
      <c r="D9" s="4" t="str">
        <f>Processes!$A$24</f>
        <v>Defining or changing a critical operation</v>
      </c>
      <c r="E9" s="7" t="s">
        <v>69</v>
      </c>
      <c r="F9" s="8" t="s">
        <v>70</v>
      </c>
      <c r="G9" s="4" t="str">
        <f>Processes!$A$25&amp;" and "&amp;Processes!$A$28</f>
        <v>Assessing capability against tolerances and Running a test</v>
      </c>
      <c r="H9" s="4" t="str">
        <f>Processes!$A$30</f>
        <v>Responding to a disruption</v>
      </c>
      <c r="I9" s="4" t="str">
        <f>Processes!$A$26</f>
        <v>Closing a resilience gap</v>
      </c>
      <c r="J9" s="4" t="str">
        <f>Processes!$A$36</f>
        <v>Regular reporting</v>
      </c>
    </row>
    <row r="10" spans="1:10" ht="76.05" customHeight="1" x14ac:dyDescent="0.45">
      <c r="A10" s="3"/>
      <c r="B10" s="3" t="s">
        <v>71</v>
      </c>
      <c r="C10" s="5" t="s">
        <v>68</v>
      </c>
      <c r="D10" s="4" t="str">
        <f>Processes!$A$32</f>
        <v>Onboarding a material service provider</v>
      </c>
      <c r="E10" s="4" t="str">
        <f>Processes!$A$34</f>
        <v>Exiting a provider</v>
      </c>
      <c r="F10" s="8" t="s">
        <v>72</v>
      </c>
      <c r="G10" s="4" t="str">
        <f>Processes!$A$33</f>
        <v>Monitoring a provider</v>
      </c>
      <c r="H10" s="9" t="s">
        <v>73</v>
      </c>
      <c r="I10" s="9" t="s">
        <v>74</v>
      </c>
      <c r="J10" s="4" t="str">
        <f>Processes!$A$36</f>
        <v>Regular reporting</v>
      </c>
    </row>
    <row r="11" spans="1:10" ht="76.05" customHeight="1" x14ac:dyDescent="0.45">
      <c r="A11" s="3" t="s">
        <v>9</v>
      </c>
      <c r="B11" s="3" t="s">
        <v>75</v>
      </c>
      <c r="C11" s="5" t="s">
        <v>76</v>
      </c>
      <c r="D11" s="4" t="str">
        <f>Processes!$A$40&amp;" and "&amp;Processes!$A$41&amp;" and "&amp;Processes!$A$42</f>
        <v>Reporting or detecting an issue and Triaging and classifying it and Investigating it</v>
      </c>
      <c r="E11" s="8" t="s">
        <v>77</v>
      </c>
      <c r="F11" s="8" t="s">
        <v>78</v>
      </c>
      <c r="G11" s="8" t="s">
        <v>79</v>
      </c>
      <c r="H11" s="8" t="s">
        <v>80</v>
      </c>
      <c r="I11" s="4" t="str">
        <f>Processes!$A$44</f>
        <v>Remediating and closing</v>
      </c>
      <c r="J11" s="4" t="str">
        <f>Processes!$A$43&amp;" and "&amp;Processes!$A$46</f>
        <v>Notifying a regulator and Regular reporting</v>
      </c>
    </row>
    <row r="12" spans="1:10" ht="76.05" customHeight="1" x14ac:dyDescent="0.45">
      <c r="A12" s="3" t="s">
        <v>12</v>
      </c>
      <c r="B12" s="3" t="s">
        <v>81</v>
      </c>
      <c r="C12" s="5" t="s">
        <v>76</v>
      </c>
      <c r="D12" s="4" t="str">
        <f>Processes!$A$50</f>
        <v>Identifying a source instrument</v>
      </c>
      <c r="E12" s="7" t="s">
        <v>82</v>
      </c>
      <c r="F12" s="8" t="s">
        <v>83</v>
      </c>
      <c r="G12" s="8" t="s">
        <v>84</v>
      </c>
      <c r="H12" s="8" t="s">
        <v>85</v>
      </c>
      <c r="I12" s="8" t="s">
        <v>86</v>
      </c>
      <c r="J12" s="9" t="s">
        <v>87</v>
      </c>
    </row>
    <row r="13" spans="1:10" ht="76.05" customHeight="1" x14ac:dyDescent="0.45">
      <c r="A13" s="3"/>
      <c r="B13" s="3" t="s">
        <v>88</v>
      </c>
      <c r="C13" s="5" t="s">
        <v>76</v>
      </c>
      <c r="D13" s="4" t="str">
        <f>Processes!$A$51</f>
        <v>Creating obligations from an instrument</v>
      </c>
      <c r="E13" s="9" t="s">
        <v>89</v>
      </c>
      <c r="F13" s="8" t="s">
        <v>90</v>
      </c>
      <c r="G13" s="4" t="str">
        <f>Processes!$A$52</f>
        <v>Refreshing obligations when an instrument changes</v>
      </c>
      <c r="H13" s="9" t="s">
        <v>91</v>
      </c>
      <c r="I13" s="9" t="s">
        <v>92</v>
      </c>
      <c r="J13" s="9" t="s">
        <v>93</v>
      </c>
    </row>
    <row r="14" spans="1:10" ht="76.05" customHeight="1" x14ac:dyDescent="0.45">
      <c r="A14" s="3"/>
      <c r="B14" s="3" t="s">
        <v>94</v>
      </c>
      <c r="C14" s="5" t="s">
        <v>95</v>
      </c>
      <c r="D14" s="4" t="str">
        <f>Processes!$A$54&amp;" and "&amp;Processes!$A$55</f>
        <v>Defining or changing a control and Linking a control to an obligation</v>
      </c>
      <c r="E14" s="7" t="s">
        <v>96</v>
      </c>
      <c r="F14" s="8" t="s">
        <v>97</v>
      </c>
      <c r="G14" s="4" t="str">
        <f>Processes!$A$56</f>
        <v>Testing a control</v>
      </c>
      <c r="H14" s="4" t="str">
        <f>Processes!$A$57</f>
        <v>Recording a control failure</v>
      </c>
      <c r="I14" s="9" t="s">
        <v>98</v>
      </c>
      <c r="J14" s="4" t="str">
        <f>Processes!$A$59</f>
        <v>Regular reporting</v>
      </c>
    </row>
    <row r="15" spans="1:10" ht="76.05" customHeight="1" x14ac:dyDescent="0.45">
      <c r="A15" s="3" t="s">
        <v>18</v>
      </c>
      <c r="B15" s="3" t="s">
        <v>99</v>
      </c>
      <c r="C15" s="5" t="s">
        <v>68</v>
      </c>
      <c r="D15" s="4" t="str">
        <f>Processes!$A$63</f>
        <v>Classifying an information asset</v>
      </c>
      <c r="E15" s="7" t="s">
        <v>100</v>
      </c>
      <c r="F15" s="8" t="s">
        <v>101</v>
      </c>
      <c r="G15" s="8" t="s">
        <v>102</v>
      </c>
      <c r="H15" s="9" t="s">
        <v>103</v>
      </c>
      <c r="I15" s="9" t="s">
        <v>98</v>
      </c>
      <c r="J15" s="4" t="str">
        <f>Processes!$A$71</f>
        <v>Regular reporting</v>
      </c>
    </row>
    <row r="16" spans="1:10" ht="76.05" customHeight="1" x14ac:dyDescent="0.45">
      <c r="A16" s="3"/>
      <c r="B16" s="3" t="s">
        <v>104</v>
      </c>
      <c r="C16" s="5" t="s">
        <v>68</v>
      </c>
      <c r="D16" s="4" t="str">
        <f>Processes!$A$64</f>
        <v>Granting, changing or revoking access</v>
      </c>
      <c r="E16" s="8" t="s">
        <v>105</v>
      </c>
      <c r="F16" s="8" t="s">
        <v>106</v>
      </c>
      <c r="G16" s="4" t="str">
        <f>Processes!$A$65</f>
        <v>Recertifying access</v>
      </c>
      <c r="H16" s="9" t="s">
        <v>107</v>
      </c>
      <c r="I16" s="9" t="s">
        <v>98</v>
      </c>
      <c r="J16" s="4" t="str">
        <f>Processes!$A$71</f>
        <v>Regular reporting</v>
      </c>
    </row>
    <row r="17" spans="1:10" ht="76.05" customHeight="1" x14ac:dyDescent="0.45">
      <c r="A17" s="3"/>
      <c r="B17" s="3" t="s">
        <v>108</v>
      </c>
      <c r="C17" s="5" t="s">
        <v>109</v>
      </c>
      <c r="D17" s="9" t="s">
        <v>110</v>
      </c>
      <c r="E17" s="8" t="s">
        <v>111</v>
      </c>
      <c r="F17" s="8" t="s">
        <v>112</v>
      </c>
      <c r="G17" s="4" t="str">
        <f>Processes!$A$67</f>
        <v>Running a security test</v>
      </c>
      <c r="H17" s="8" t="s">
        <v>113</v>
      </c>
      <c r="I17" s="4" t="str">
        <f>Processes!$A$69</f>
        <v>Responding to a security incident</v>
      </c>
      <c r="J17" s="4" t="str">
        <f>Processes!$A$71</f>
        <v>Regular reporting</v>
      </c>
    </row>
    <row r="18" spans="1:10" ht="76.05" customHeight="1" x14ac:dyDescent="0.45">
      <c r="A18" s="3" t="s">
        <v>11</v>
      </c>
      <c r="B18" s="3" t="s">
        <v>114</v>
      </c>
      <c r="C18" s="5" t="s">
        <v>115</v>
      </c>
      <c r="D18" s="4" t="str">
        <f>Processes!$A$75</f>
        <v>Defining or changing a data item</v>
      </c>
      <c r="E18" s="7" t="s">
        <v>116</v>
      </c>
      <c r="F18" s="8" t="s">
        <v>117</v>
      </c>
      <c r="G18" s="8" t="s">
        <v>118</v>
      </c>
      <c r="H18" s="4" t="str">
        <f>Processes!$A$78</f>
        <v>Running the rules and raising issues</v>
      </c>
      <c r="I18" s="4" t="str">
        <f>Processes!$A$79</f>
        <v>Resolving a data quality issue</v>
      </c>
      <c r="J18" s="4" t="str">
        <f>Processes!$A$86</f>
        <v>Regular reporting</v>
      </c>
    </row>
    <row r="19" spans="1:10" ht="76.05" customHeight="1" x14ac:dyDescent="0.45">
      <c r="A19" s="3"/>
      <c r="B19" s="3" t="s">
        <v>119</v>
      </c>
      <c r="C19" s="5" t="s">
        <v>68</v>
      </c>
      <c r="D19" s="4" t="str">
        <f>Processes!$A$77</f>
        <v>Defining a data quality rule</v>
      </c>
      <c r="E19" s="7" t="s">
        <v>120</v>
      </c>
      <c r="F19" s="4" t="str">
        <f>Processes!$A$78</f>
        <v>Running the rules and raising issues</v>
      </c>
      <c r="G19" s="7" t="s">
        <v>121</v>
      </c>
      <c r="H19" s="8" t="s">
        <v>122</v>
      </c>
      <c r="I19" s="9" t="s">
        <v>123</v>
      </c>
      <c r="J19" s="4" t="str">
        <f>Processes!$A$86</f>
        <v>Regular reporting</v>
      </c>
    </row>
    <row r="20" spans="1:10" ht="76.05" customHeight="1" x14ac:dyDescent="0.45">
      <c r="A20" s="3"/>
      <c r="B20" s="3" t="s">
        <v>124</v>
      </c>
      <c r="C20" s="5" t="s">
        <v>68</v>
      </c>
      <c r="D20" s="4" t="str">
        <f>Processes!$A$81</f>
        <v>Registering an end-user computing tool</v>
      </c>
      <c r="E20" s="7" t="s">
        <v>125</v>
      </c>
      <c r="F20" s="8" t="s">
        <v>126</v>
      </c>
      <c r="G20" s="4" t="str">
        <f>Processes!$A$82</f>
        <v>Reconciling an end-user computing tool</v>
      </c>
      <c r="H20" s="9" t="s">
        <v>127</v>
      </c>
      <c r="I20" s="9" t="s">
        <v>123</v>
      </c>
      <c r="J20" s="4" t="str">
        <f>Processes!$A$86</f>
        <v>Regular reporting</v>
      </c>
    </row>
    <row r="21" spans="1:10" ht="76.05" customHeight="1" x14ac:dyDescent="0.45">
      <c r="A21" s="3"/>
      <c r="B21" s="3" t="s">
        <v>128</v>
      </c>
      <c r="C21" s="5" t="s">
        <v>76</v>
      </c>
      <c r="D21" s="4" t="str">
        <f>Processes!$A$84</f>
        <v>Confirming a de-identification method before use</v>
      </c>
      <c r="E21" s="8" t="s">
        <v>129</v>
      </c>
      <c r="F21" s="8" t="s">
        <v>130</v>
      </c>
      <c r="G21" s="7" t="s">
        <v>131</v>
      </c>
      <c r="H21" s="9" t="s">
        <v>132</v>
      </c>
      <c r="I21" s="9" t="s">
        <v>98</v>
      </c>
      <c r="J21" s="4" t="str">
        <f>Processes!$A$86</f>
        <v>Regular reporting</v>
      </c>
    </row>
    <row r="22" spans="1:10" ht="76.05" customHeight="1" x14ac:dyDescent="0.45">
      <c r="A22" s="3" t="s">
        <v>13</v>
      </c>
      <c r="B22" s="3" t="s">
        <v>133</v>
      </c>
      <c r="C22" s="5" t="s">
        <v>134</v>
      </c>
      <c r="D22" s="4" t="str">
        <f>Processes!$A$90</f>
        <v>Disclosing a conflict and deciding the response</v>
      </c>
      <c r="E22" s="8" t="s">
        <v>135</v>
      </c>
      <c r="F22" s="8" t="s">
        <v>136</v>
      </c>
      <c r="G22" s="4" t="str">
        <f>Processes!$A$91</f>
        <v>Reviewing a conflict</v>
      </c>
      <c r="H22" s="9" t="s">
        <v>137</v>
      </c>
      <c r="I22" s="9" t="s">
        <v>98</v>
      </c>
      <c r="J22" s="4" t="str">
        <f>Processes!$A$97</f>
        <v>Regular reporting</v>
      </c>
    </row>
    <row r="23" spans="1:10" ht="76.05" customHeight="1" x14ac:dyDescent="0.45">
      <c r="A23" s="3"/>
      <c r="B23" s="3" t="s">
        <v>138</v>
      </c>
      <c r="C23" s="5" t="s">
        <v>139</v>
      </c>
      <c r="D23" s="4" t="str">
        <f>Processes!$A$93</f>
        <v>Approving a related-party arrangement</v>
      </c>
      <c r="E23" s="4" t="str">
        <f>Processes!$A$95</f>
        <v>Ending or renegotiating an arrangement</v>
      </c>
      <c r="F23" s="8" t="s">
        <v>140</v>
      </c>
      <c r="G23" s="4" t="str">
        <f>Processes!$A$94</f>
        <v>Reviewing a related-party arrangement</v>
      </c>
      <c r="H23" s="9" t="s">
        <v>141</v>
      </c>
      <c r="I23" s="9" t="s">
        <v>98</v>
      </c>
      <c r="J23" s="4" t="str">
        <f>Processes!$A$97</f>
        <v>Regular reporting</v>
      </c>
    </row>
    <row r="24" spans="1:10" ht="76.05" customHeight="1" x14ac:dyDescent="0.45">
      <c r="A24" s="3" t="s">
        <v>21</v>
      </c>
      <c r="B24" s="3" t="s">
        <v>142</v>
      </c>
      <c r="C24" s="5" t="s">
        <v>76</v>
      </c>
      <c r="D24" s="4" t="str">
        <f>Processes!$A$101&amp;" and "&amp;Processes!$A$102</f>
        <v>Identifying a risk and Assessing and rating a risk</v>
      </c>
      <c r="E24" s="8" t="s">
        <v>143</v>
      </c>
      <c r="F24" s="8" t="s">
        <v>144</v>
      </c>
      <c r="G24" s="4" t="str">
        <f>Processes!$A$103</f>
        <v>Reviewing a risk</v>
      </c>
      <c r="H24" s="9" t="s">
        <v>145</v>
      </c>
      <c r="I24" s="4" t="str">
        <f>Processes!$A$104</f>
        <v>Treating a risk</v>
      </c>
      <c r="J24" s="4" t="str">
        <f>Processes!$A$106</f>
        <v>Regular reporting</v>
      </c>
    </row>
    <row r="25" spans="1:10" ht="76.05" customHeight="1" x14ac:dyDescent="0.45">
      <c r="A25" s="3" t="s">
        <v>15</v>
      </c>
      <c r="B25" s="3" t="s">
        <v>146</v>
      </c>
      <c r="C25" s="5" t="s">
        <v>147</v>
      </c>
      <c r="D25" s="4" t="str">
        <f>Processes!$A$110</f>
        <v>Setting or changing a delegation</v>
      </c>
      <c r="E25" s="7" t="s">
        <v>148</v>
      </c>
      <c r="F25" s="4" t="str">
        <f>Processes!$A$111</f>
        <v>Exercising an authority</v>
      </c>
      <c r="G25" s="8" t="s">
        <v>149</v>
      </c>
      <c r="H25" s="9" t="s">
        <v>150</v>
      </c>
      <c r="I25" s="9" t="s">
        <v>98</v>
      </c>
      <c r="J25" s="4" t="str">
        <f>Processes!$A$116</f>
        <v>Regular reporting</v>
      </c>
    </row>
    <row r="26" spans="1:10" ht="76.05" customHeight="1" x14ac:dyDescent="0.45">
      <c r="A26" s="3"/>
      <c r="B26" s="3" t="s">
        <v>151</v>
      </c>
      <c r="C26" s="5" t="s">
        <v>147</v>
      </c>
      <c r="D26" s="7" t="s">
        <v>152</v>
      </c>
      <c r="E26" s="8" t="s">
        <v>153</v>
      </c>
      <c r="F26" s="4" t="str">
        <f>Processes!$A$113</f>
        <v>Running a Board or committee cycle</v>
      </c>
      <c r="G26" s="4" t="str">
        <f>Processes!$A$114</f>
        <v>Assessing the Board and its committees</v>
      </c>
      <c r="H26" s="8" t="s">
        <v>154</v>
      </c>
      <c r="I26" s="8" t="s">
        <v>155</v>
      </c>
      <c r="J26" s="4" t="str">
        <f>Processes!$A$116</f>
        <v>Regular reporting</v>
      </c>
    </row>
    <row r="27" spans="1:10" ht="76.05" customHeight="1" x14ac:dyDescent="0.45">
      <c r="A27" s="3" t="s">
        <v>17</v>
      </c>
      <c r="B27" s="3" t="s">
        <v>156</v>
      </c>
      <c r="C27" s="5" t="s">
        <v>157</v>
      </c>
      <c r="D27" s="4" t="str">
        <f>Processes!$A$120</f>
        <v>Planning the audit cycle</v>
      </c>
      <c r="E27" s="8" t="s">
        <v>158</v>
      </c>
      <c r="F27" s="4" t="str">
        <f>Processes!$A$121</f>
        <v>Running an engagement</v>
      </c>
      <c r="G27" s="8" t="s">
        <v>159</v>
      </c>
      <c r="H27" s="8" t="s">
        <v>160</v>
      </c>
      <c r="I27" s="4" t="str">
        <f>Processes!$A$123</f>
        <v>Closing a finding</v>
      </c>
      <c r="J27" s="4" t="str">
        <f>Processes!$A$125</f>
        <v>Regular reporting</v>
      </c>
    </row>
    <row r="28" spans="1:10" ht="76.05" customHeight="1" x14ac:dyDescent="0.45">
      <c r="A28" s="3" t="s">
        <v>16</v>
      </c>
      <c r="B28" s="3" t="s">
        <v>161</v>
      </c>
      <c r="C28" s="5" t="s">
        <v>162</v>
      </c>
      <c r="D28" s="4" t="str">
        <f>Processes!$A$129&amp;" and "&amp;Processes!$A$130</f>
        <v>Registering an AI use case and Changing or revalidating a model</v>
      </c>
      <c r="E28" s="7" t="s">
        <v>163</v>
      </c>
      <c r="F28" s="4" t="str">
        <f>Processes!$A$132</f>
        <v>Monitoring AI decisioning</v>
      </c>
      <c r="G28" s="8" t="s">
        <v>164</v>
      </c>
      <c r="H28" s="9" t="s">
        <v>165</v>
      </c>
      <c r="I28" s="9" t="s">
        <v>98</v>
      </c>
      <c r="J28" s="4" t="str">
        <f>Processes!$A$134</f>
        <v>Regular reporting</v>
      </c>
    </row>
    <row r="29" spans="1:10" ht="76.05" customHeight="1" x14ac:dyDescent="0.45">
      <c r="A29" s="3" t="s">
        <v>19</v>
      </c>
      <c r="B29" s="3" t="s">
        <v>166</v>
      </c>
      <c r="C29" s="5" t="s">
        <v>76</v>
      </c>
      <c r="D29" s="4" t="str">
        <f>Processes!$A$138</f>
        <v>Recording what personal information is held</v>
      </c>
      <c r="E29" s="4" t="str">
        <f>Processes!$A$144</f>
        <v>Retaining and destroying</v>
      </c>
      <c r="F29" s="8" t="s">
        <v>167</v>
      </c>
      <c r="G29" s="8" t="s">
        <v>168</v>
      </c>
      <c r="H29" s="9" t="s">
        <v>169</v>
      </c>
      <c r="I29" s="9" t="s">
        <v>98</v>
      </c>
      <c r="J29" s="4" t="str">
        <f>Processes!$A$146</f>
        <v>Regular reporting</v>
      </c>
    </row>
    <row r="30" spans="1:10" ht="76.05" customHeight="1" x14ac:dyDescent="0.45">
      <c r="A30" s="3"/>
      <c r="B30" s="3" t="s">
        <v>170</v>
      </c>
      <c r="C30" s="5" t="s">
        <v>76</v>
      </c>
      <c r="D30" s="4" t="str">
        <f>Processes!$A$140</f>
        <v>Assessing a privacy impact</v>
      </c>
      <c r="E30" s="8" t="s">
        <v>171</v>
      </c>
      <c r="F30" s="8" t="s">
        <v>172</v>
      </c>
      <c r="G30" s="7" t="s">
        <v>173</v>
      </c>
      <c r="H30" s="8" t="s">
        <v>174</v>
      </c>
      <c r="I30" s="9" t="s">
        <v>98</v>
      </c>
      <c r="J30" s="4" t="str">
        <f>Processes!$A$146</f>
        <v>Regular reporting</v>
      </c>
    </row>
    <row r="31" spans="1:10" ht="76.05" customHeight="1" x14ac:dyDescent="0.45">
      <c r="A31" s="3"/>
      <c r="B31" s="3" t="s">
        <v>175</v>
      </c>
      <c r="C31" s="5" t="s">
        <v>76</v>
      </c>
      <c r="D31" s="4" t="str">
        <f>Processes!$A$142</f>
        <v>Handling a data subject request</v>
      </c>
      <c r="E31" s="8" t="s">
        <v>176</v>
      </c>
      <c r="F31" s="8" t="s">
        <v>177</v>
      </c>
      <c r="G31" s="8" t="s">
        <v>178</v>
      </c>
      <c r="H31" s="9" t="s">
        <v>179</v>
      </c>
      <c r="I31" s="9" t="s">
        <v>98</v>
      </c>
      <c r="J31" s="4" t="str">
        <f>Processes!$A$146</f>
        <v>Regular reporting</v>
      </c>
    </row>
    <row r="32" spans="1:10" ht="76.05" customHeight="1" x14ac:dyDescent="0.45">
      <c r="A32" s="3" t="s">
        <v>20</v>
      </c>
      <c r="B32" s="3" t="s">
        <v>180</v>
      </c>
      <c r="C32" s="5" t="s">
        <v>181</v>
      </c>
      <c r="D32" s="8" t="s">
        <v>182</v>
      </c>
      <c r="E32" s="8" t="s">
        <v>183</v>
      </c>
      <c r="F32" s="4" t="str">
        <f>Processes!$A$150</f>
        <v>Screening a customer, adviser or counterparty</v>
      </c>
      <c r="G32" s="4" t="str">
        <f>Processes!$A$152</f>
        <v>Keeping the lists current</v>
      </c>
      <c r="H32" s="4" t="str">
        <f>Processes!$A$151</f>
        <v>Reviewing an alert</v>
      </c>
      <c r="I32" s="9" t="s">
        <v>184</v>
      </c>
      <c r="J32" s="4" t="str">
        <f>Processes!$A$156</f>
        <v>Regular reporting</v>
      </c>
    </row>
    <row r="33" spans="1:10" ht="76.05" customHeight="1" x14ac:dyDescent="0.45">
      <c r="A33" s="3"/>
      <c r="B33" s="3" t="s">
        <v>185</v>
      </c>
      <c r="C33" s="5" t="s">
        <v>76</v>
      </c>
      <c r="D33" s="4" t="str">
        <f>Processes!$A$154</f>
        <v>Maintaining the applicability analysis</v>
      </c>
      <c r="E33" s="8" t="s">
        <v>186</v>
      </c>
      <c r="F33" s="8" t="s">
        <v>187</v>
      </c>
      <c r="G33" s="8" t="s">
        <v>188</v>
      </c>
      <c r="H33" s="7" t="s">
        <v>189</v>
      </c>
      <c r="I33" s="8" t="s">
        <v>155</v>
      </c>
      <c r="J33" s="4" t="str">
        <f>Processes!$A$156</f>
        <v>Regular reporting</v>
      </c>
    </row>
    <row r="34" spans="1:10" ht="76.05" customHeight="1" x14ac:dyDescent="0.45">
      <c r="A34" s="3" t="s">
        <v>22</v>
      </c>
      <c r="B34" s="3" t="s">
        <v>190</v>
      </c>
      <c r="C34" s="5" t="s">
        <v>181</v>
      </c>
      <c r="D34" s="4" t="str">
        <f>Processes!$A$160</f>
        <v>Defining or changing a product</v>
      </c>
      <c r="E34" s="4" t="str">
        <f>Processes!$A$161</f>
        <v>Retiring a product</v>
      </c>
      <c r="F34" s="8" t="s">
        <v>191</v>
      </c>
      <c r="G34" s="8" t="s">
        <v>192</v>
      </c>
      <c r="H34" s="9" t="s">
        <v>193</v>
      </c>
      <c r="I34" s="9" t="s">
        <v>194</v>
      </c>
      <c r="J34" s="4" t="str">
        <f>Processes!$A$165</f>
        <v>Regular reporting</v>
      </c>
    </row>
    <row r="35" spans="1:10" ht="76.05" customHeight="1" x14ac:dyDescent="0.45">
      <c r="A35" s="3"/>
      <c r="B35" s="3" t="s">
        <v>195</v>
      </c>
      <c r="C35" s="5" t="s">
        <v>196</v>
      </c>
      <c r="D35" s="4" t="str">
        <f>Processes!$A$163</f>
        <v>Repricing</v>
      </c>
      <c r="E35" s="8" t="s">
        <v>197</v>
      </c>
      <c r="F35" s="8" t="s">
        <v>198</v>
      </c>
      <c r="G35" s="9" t="s">
        <v>199</v>
      </c>
      <c r="H35" s="7" t="s">
        <v>200</v>
      </c>
      <c r="I35" s="9" t="s">
        <v>201</v>
      </c>
      <c r="J35" s="4" t="str">
        <f>Processes!$A$165</f>
        <v>Regular reporting</v>
      </c>
    </row>
    <row r="36" spans="1:10" ht="76.05" customHeight="1" x14ac:dyDescent="0.45">
      <c r="A36" s="3" t="s">
        <v>23</v>
      </c>
      <c r="B36" s="3" t="s">
        <v>202</v>
      </c>
      <c r="C36" s="5" t="s">
        <v>181</v>
      </c>
      <c r="D36" s="4" t="str">
        <f>Processes!$A$169</f>
        <v>Onboarding an adviser or dealer group</v>
      </c>
      <c r="E36" s="4" t="str">
        <f>Processes!$A$170</f>
        <v>Offboarding an adviser</v>
      </c>
      <c r="F36" s="8" t="s">
        <v>203</v>
      </c>
      <c r="G36" s="8" t="s">
        <v>204</v>
      </c>
      <c r="H36" s="9" t="s">
        <v>205</v>
      </c>
      <c r="I36" s="9" t="s">
        <v>194</v>
      </c>
      <c r="J36" s="4" t="str">
        <f>Processes!$A$177</f>
        <v>Regular reporting</v>
      </c>
    </row>
    <row r="37" spans="1:10" ht="76.05" customHeight="1" x14ac:dyDescent="0.45">
      <c r="A37" s="3"/>
      <c r="B37" s="3" t="s">
        <v>206</v>
      </c>
      <c r="C37" s="5" t="s">
        <v>207</v>
      </c>
      <c r="D37" s="8" t="s">
        <v>208</v>
      </c>
      <c r="E37" s="8" t="s">
        <v>209</v>
      </c>
      <c r="F37" s="4" t="str">
        <f>Processes!$A$175</f>
        <v>Paying commission</v>
      </c>
      <c r="G37" s="7" t="s">
        <v>210</v>
      </c>
      <c r="H37" s="9" t="s">
        <v>211</v>
      </c>
      <c r="I37" s="9" t="s">
        <v>212</v>
      </c>
      <c r="J37" s="4" t="str">
        <f>Processes!$A$177</f>
        <v>Regular reporting</v>
      </c>
    </row>
    <row r="38" spans="1:10" ht="76.05" customHeight="1" x14ac:dyDescent="0.45">
      <c r="A38" s="3" t="s">
        <v>24</v>
      </c>
      <c r="B38" s="3" t="s">
        <v>213</v>
      </c>
      <c r="C38" s="5" t="s">
        <v>214</v>
      </c>
      <c r="D38" s="4" t="str">
        <f>Processes!$A$181</f>
        <v>Setting and changing assumptions</v>
      </c>
      <c r="E38" s="8" t="s">
        <v>215</v>
      </c>
      <c r="F38" s="9" t="s">
        <v>216</v>
      </c>
      <c r="G38" s="4" t="str">
        <f>Processes!$A$184</f>
        <v>Analysing experience</v>
      </c>
      <c r="H38" s="7" t="s">
        <v>217</v>
      </c>
      <c r="I38" s="9" t="s">
        <v>98</v>
      </c>
      <c r="J38" s="4" t="str">
        <f>Processes!$A$189</f>
        <v>Regular reporting</v>
      </c>
    </row>
    <row r="39" spans="1:10" ht="76.05" customHeight="1" x14ac:dyDescent="0.45">
      <c r="A39" s="3"/>
      <c r="B39" s="3" t="s">
        <v>218</v>
      </c>
      <c r="C39" s="5" t="s">
        <v>207</v>
      </c>
      <c r="D39" s="9" t="s">
        <v>219</v>
      </c>
      <c r="E39" s="8" t="s">
        <v>220</v>
      </c>
      <c r="F39" s="4" t="str">
        <f>Processes!$A$186</f>
        <v>Monitoring capital adequacy</v>
      </c>
      <c r="G39" s="4" t="str">
        <f>Processes!$A$187</f>
        <v>Running the ICAAP cycle</v>
      </c>
      <c r="H39" s="9" t="s">
        <v>221</v>
      </c>
      <c r="I39" s="9" t="s">
        <v>222</v>
      </c>
      <c r="J39" s="4" t="str">
        <f>Processes!$A$189</f>
        <v>Regular reporting</v>
      </c>
    </row>
    <row r="40" spans="1:10" ht="76.05" customHeight="1" x14ac:dyDescent="0.45">
      <c r="A40" s="3" t="s">
        <v>25</v>
      </c>
      <c r="B40" s="3" t="s">
        <v>223</v>
      </c>
      <c r="C40" s="5" t="s">
        <v>224</v>
      </c>
      <c r="D40" s="4" t="str">
        <f>Processes!$A$193</f>
        <v>Placing a treaty</v>
      </c>
      <c r="E40" s="4" t="str">
        <f>Processes!$A$194</f>
        <v>Ending or replacing a treaty</v>
      </c>
      <c r="F40" s="4" t="str">
        <f>Processes!$A$196</f>
        <v>Ceding and recovering</v>
      </c>
      <c r="G40" s="8" t="s">
        <v>225</v>
      </c>
      <c r="H40" s="9" t="s">
        <v>226</v>
      </c>
      <c r="I40" s="9" t="s">
        <v>212</v>
      </c>
      <c r="J40" s="4" t="str">
        <f>Processes!$A$200</f>
        <v>Regular reporting</v>
      </c>
    </row>
    <row r="41" spans="1:10" ht="76.05" customHeight="1" x14ac:dyDescent="0.45">
      <c r="A41" s="3"/>
      <c r="B41" s="3" t="s">
        <v>227</v>
      </c>
      <c r="C41" s="5" t="s">
        <v>207</v>
      </c>
      <c r="D41" s="8" t="s">
        <v>228</v>
      </c>
      <c r="E41" s="9" t="s">
        <v>229</v>
      </c>
      <c r="F41" s="4" t="str">
        <f>Processes!$A$198</f>
        <v>Monitoring the counterparty</v>
      </c>
      <c r="G41" s="9" t="s">
        <v>230</v>
      </c>
      <c r="H41" s="7" t="s">
        <v>231</v>
      </c>
      <c r="I41" s="9" t="s">
        <v>232</v>
      </c>
      <c r="J41" s="4" t="str">
        <f>Processes!$A$200</f>
        <v>Regular reporting</v>
      </c>
    </row>
    <row r="42" spans="1:10" ht="76.05" customHeight="1" x14ac:dyDescent="0.45">
      <c r="A42" s="3" t="s">
        <v>26</v>
      </c>
      <c r="B42" s="3" t="s">
        <v>233</v>
      </c>
      <c r="C42" s="5" t="s">
        <v>207</v>
      </c>
      <c r="D42" s="4" t="str">
        <f>Processes!$A$204</f>
        <v>Receiving and allocating money</v>
      </c>
      <c r="E42" s="8" t="s">
        <v>234</v>
      </c>
      <c r="F42" s="4" t="str">
        <f>Processes!$A$204</f>
        <v>Receiving and allocating money</v>
      </c>
      <c r="G42" s="9" t="s">
        <v>235</v>
      </c>
      <c r="H42" s="9" t="s">
        <v>236</v>
      </c>
      <c r="I42" s="9" t="s">
        <v>212</v>
      </c>
      <c r="J42" s="4" t="str">
        <f>Processes!$A$213</f>
        <v>Regular reporting</v>
      </c>
    </row>
    <row r="43" spans="1:10" ht="76.05" customHeight="1" x14ac:dyDescent="0.45">
      <c r="A43" s="3"/>
      <c r="B43" s="3" t="s">
        <v>237</v>
      </c>
      <c r="C43" s="5" t="s">
        <v>207</v>
      </c>
      <c r="D43" s="4" t="str">
        <f>Processes!$A$206</f>
        <v>Paying money out</v>
      </c>
      <c r="E43" s="8" t="s">
        <v>238</v>
      </c>
      <c r="F43" s="4" t="str">
        <f>Processes!$A$206</f>
        <v>Paying money out</v>
      </c>
      <c r="G43" s="9" t="s">
        <v>239</v>
      </c>
      <c r="H43" s="9" t="s">
        <v>240</v>
      </c>
      <c r="I43" s="9" t="s">
        <v>212</v>
      </c>
      <c r="J43" s="4" t="str">
        <f>Processes!$A$213</f>
        <v>Regular reporting</v>
      </c>
    </row>
    <row r="44" spans="1:10" ht="76.05" customHeight="1" x14ac:dyDescent="0.45">
      <c r="A44" s="3"/>
      <c r="B44" s="3" t="s">
        <v>241</v>
      </c>
      <c r="C44" s="5" t="s">
        <v>207</v>
      </c>
      <c r="D44" s="8" t="s">
        <v>242</v>
      </c>
      <c r="E44" s="4" t="str">
        <f>Processes!$A$209</f>
        <v>Closing a period</v>
      </c>
      <c r="F44" s="4" t="str">
        <f>Processes!$A$208</f>
        <v>Reconciling</v>
      </c>
      <c r="G44" s="8" t="s">
        <v>243</v>
      </c>
      <c r="H44" s="7" t="s">
        <v>244</v>
      </c>
      <c r="I44" s="9" t="s">
        <v>212</v>
      </c>
      <c r="J44" s="4" t="str">
        <f>Processes!$A$213</f>
        <v>Regular reporting</v>
      </c>
    </row>
    <row r="45" spans="1:10" ht="76.05" customHeight="1" x14ac:dyDescent="0.45">
      <c r="A45" s="3"/>
      <c r="B45" s="3" t="s">
        <v>245</v>
      </c>
      <c r="C45" s="5" t="s">
        <v>207</v>
      </c>
      <c r="D45" s="8" t="s">
        <v>246</v>
      </c>
      <c r="E45" s="8" t="s">
        <v>247</v>
      </c>
      <c r="F45" s="4" t="str">
        <f>Processes!$A$211</f>
        <v>Meeting tax obligations</v>
      </c>
      <c r="G45" s="7" t="s">
        <v>248</v>
      </c>
      <c r="H45" s="9" t="s">
        <v>249</v>
      </c>
      <c r="I45" s="9" t="s">
        <v>212</v>
      </c>
      <c r="J45" s="4" t="str">
        <f>Processes!$A$213</f>
        <v>Regular reporting</v>
      </c>
    </row>
    <row r="46" spans="1:10" ht="76.05" customHeight="1" x14ac:dyDescent="0.45">
      <c r="A46" s="3" t="s">
        <v>27</v>
      </c>
      <c r="B46" s="3" t="s">
        <v>250</v>
      </c>
      <c r="C46" s="5" t="s">
        <v>207</v>
      </c>
      <c r="D46" s="4" t="str">
        <f>Processes!$A$217</f>
        <v>Setting and changing the mandate</v>
      </c>
      <c r="E46" s="8" t="s">
        <v>251</v>
      </c>
      <c r="F46" s="4" t="str">
        <f>Processes!$A$219</f>
        <v>Running the portfolio</v>
      </c>
      <c r="G46" s="4" t="str">
        <f>Processes!$A$217</f>
        <v>Setting and changing the mandate</v>
      </c>
      <c r="H46" s="9" t="s">
        <v>252</v>
      </c>
      <c r="I46" s="9" t="s">
        <v>212</v>
      </c>
      <c r="J46" s="4" t="str">
        <f>Processes!$A$225</f>
        <v>Regular reporting</v>
      </c>
    </row>
    <row r="47" spans="1:10" ht="76.05" customHeight="1" x14ac:dyDescent="0.45">
      <c r="A47" s="3"/>
      <c r="B47" s="3" t="s">
        <v>253</v>
      </c>
      <c r="C47" s="5" t="s">
        <v>207</v>
      </c>
      <c r="D47" s="8" t="s">
        <v>254</v>
      </c>
      <c r="E47" s="8" t="s">
        <v>255</v>
      </c>
      <c r="F47" s="4" t="str">
        <f>Processes!$A$219</f>
        <v>Running the portfolio</v>
      </c>
      <c r="G47" s="4" t="str">
        <f>Processes!$A$223</f>
        <v>Holding the assets</v>
      </c>
      <c r="H47" s="4" t="str">
        <f>Processes!$A$219</f>
        <v>Running the portfolio</v>
      </c>
      <c r="I47" s="9" t="s">
        <v>212</v>
      </c>
      <c r="J47" s="4" t="str">
        <f>Processes!$A$225</f>
        <v>Regular reporting</v>
      </c>
    </row>
    <row r="48" spans="1:10" ht="76.05" customHeight="1" x14ac:dyDescent="0.45">
      <c r="A48" s="3"/>
      <c r="B48" s="3" t="s">
        <v>256</v>
      </c>
      <c r="C48" s="5" t="s">
        <v>207</v>
      </c>
      <c r="D48" s="4" t="str">
        <f>Processes!$A$221</f>
        <v>Overseeing the manager</v>
      </c>
      <c r="E48" s="9" t="s">
        <v>257</v>
      </c>
      <c r="F48" s="4" t="str">
        <f>Processes!$A$221</f>
        <v>Overseeing the manager</v>
      </c>
      <c r="G48" s="4" t="str">
        <f>Processes!$A$221</f>
        <v>Overseeing the manager</v>
      </c>
      <c r="H48" s="9" t="s">
        <v>258</v>
      </c>
      <c r="I48" s="9" t="s">
        <v>212</v>
      </c>
      <c r="J48" s="4" t="str">
        <f>Processes!$A$225</f>
        <v>Regular reporting</v>
      </c>
    </row>
    <row r="49" spans="1:10" ht="76.05" customHeight="1" x14ac:dyDescent="0.45">
      <c r="A49" s="3"/>
      <c r="B49" s="3" t="s">
        <v>259</v>
      </c>
      <c r="C49" s="5" t="s">
        <v>207</v>
      </c>
      <c r="D49" s="8" t="s">
        <v>260</v>
      </c>
      <c r="E49" s="8" t="s">
        <v>261</v>
      </c>
      <c r="F49" s="4" t="str">
        <f>Processes!$A$223</f>
        <v>Holding the assets</v>
      </c>
      <c r="G49" s="4" t="str">
        <f>Processes!$A$223</f>
        <v>Holding the assets</v>
      </c>
      <c r="H49" s="9" t="s">
        <v>262</v>
      </c>
      <c r="I49" s="9" t="s">
        <v>212</v>
      </c>
      <c r="J49" s="4" t="str">
        <f>Processes!$A$225</f>
        <v>Regular reporting</v>
      </c>
    </row>
    <row r="50" spans="1:10" ht="76.05" customHeight="1" x14ac:dyDescent="0.45">
      <c r="A50" s="3" t="s">
        <v>28</v>
      </c>
      <c r="B50" s="3" t="s">
        <v>263</v>
      </c>
      <c r="C50" s="5" t="s">
        <v>207</v>
      </c>
      <c r="D50" s="4" t="str">
        <f>Processes!$A$229</f>
        <v>Recording an obligation</v>
      </c>
      <c r="E50" s="8" t="s">
        <v>264</v>
      </c>
      <c r="F50" s="4" t="str">
        <f>Processes!$A$231</f>
        <v>Preparing and lodging a return</v>
      </c>
      <c r="G50" s="4" t="str">
        <f>Processes!$A$229</f>
        <v>Recording an obligation</v>
      </c>
      <c r="H50" s="9" t="s">
        <v>265</v>
      </c>
      <c r="I50" s="4" t="str">
        <f>Processes!$A$232</f>
        <v>Correcting a lodged return</v>
      </c>
      <c r="J50" s="4" t="str">
        <f>Processes!$A$234</f>
        <v>Regular reporting</v>
      </c>
    </row>
    <row r="51" spans="1:10" ht="76.05" customHeight="1" x14ac:dyDescent="0.45">
      <c r="A51" s="3"/>
      <c r="B51" s="3" t="s">
        <v>266</v>
      </c>
      <c r="C51" s="5" t="s">
        <v>207</v>
      </c>
      <c r="D51" s="4" t="str">
        <f>Processes!$A$231</f>
        <v>Preparing and lodging a return</v>
      </c>
      <c r="E51" s="8" t="s">
        <v>267</v>
      </c>
      <c r="F51" s="4" t="str">
        <f>Processes!$A$231</f>
        <v>Preparing and lodging a return</v>
      </c>
      <c r="G51" s="8" t="s">
        <v>268</v>
      </c>
      <c r="H51" s="4" t="str">
        <f>Processes!$A$232</f>
        <v>Correcting a lodged return</v>
      </c>
      <c r="I51" s="4" t="str">
        <f>Processes!$A$232</f>
        <v>Correcting a lodged return</v>
      </c>
      <c r="J51" s="4" t="str">
        <f>Processes!$A$234</f>
        <v>Regular reporting</v>
      </c>
    </row>
    <row r="52" spans="1:10" ht="76.05" customHeight="1" x14ac:dyDescent="0.45">
      <c r="A52" s="3" t="s">
        <v>29</v>
      </c>
      <c r="B52" s="3" t="s">
        <v>269</v>
      </c>
      <c r="C52" s="5" t="s">
        <v>68</v>
      </c>
      <c r="D52" s="4" t="str">
        <f>Processes!$A$238</f>
        <v>Selling and issuing a policy</v>
      </c>
      <c r="E52" s="4" t="str">
        <f>Processes!$A$241</f>
        <v>Collecting premium and losing a policy</v>
      </c>
      <c r="F52" s="4" t="str">
        <f>Processes!$A$240</f>
        <v>Servicing and altering a policy</v>
      </c>
      <c r="G52" s="8" t="s">
        <v>270</v>
      </c>
      <c r="H52" s="9" t="s">
        <v>271</v>
      </c>
      <c r="I52" s="9" t="s">
        <v>272</v>
      </c>
      <c r="J52" s="4" t="str">
        <f>Processes!$A$251</f>
        <v>Regular reporting</v>
      </c>
    </row>
    <row r="53" spans="1:10" ht="76.05" customHeight="1" x14ac:dyDescent="0.45">
      <c r="A53" s="3"/>
      <c r="B53" s="3" t="s">
        <v>273</v>
      </c>
      <c r="C53" s="5" t="s">
        <v>68</v>
      </c>
      <c r="D53" s="4" t="str">
        <f>Processes!$A$243</f>
        <v>Paying a claim</v>
      </c>
      <c r="E53" s="8" t="s">
        <v>274</v>
      </c>
      <c r="F53" s="4" t="str">
        <f>Processes!$A$243</f>
        <v>Paying a claim</v>
      </c>
      <c r="G53" s="7" t="s">
        <v>275</v>
      </c>
      <c r="H53" s="9" t="s">
        <v>276</v>
      </c>
      <c r="I53" s="9" t="s">
        <v>212</v>
      </c>
      <c r="J53" s="4" t="str">
        <f>Processes!$A$251</f>
        <v>Regular reporting</v>
      </c>
    </row>
    <row r="54" spans="1:10" ht="76.05" customHeight="1" x14ac:dyDescent="0.45">
      <c r="A54" s="3"/>
      <c r="B54" s="3" t="s">
        <v>277</v>
      </c>
      <c r="C54" s="5" t="s">
        <v>68</v>
      </c>
      <c r="D54" s="4" t="str">
        <f>Processes!$A$245</f>
        <v>Handling a complaint</v>
      </c>
      <c r="E54" s="8" t="s">
        <v>278</v>
      </c>
      <c r="F54" s="4" t="str">
        <f>Processes!$A$245</f>
        <v>Handling a complaint</v>
      </c>
      <c r="G54" s="4" t="str">
        <f>Processes!$A$251</f>
        <v>Regular reporting</v>
      </c>
      <c r="H54" s="9" t="s">
        <v>279</v>
      </c>
      <c r="I54" s="9" t="s">
        <v>280</v>
      </c>
      <c r="J54" s="4" t="str">
        <f>Processes!$A$251</f>
        <v>Regular reporting</v>
      </c>
    </row>
    <row r="55" spans="1:10" ht="76.05" customHeight="1" x14ac:dyDescent="0.45">
      <c r="A55" s="3"/>
      <c r="B55" s="3" t="s">
        <v>281</v>
      </c>
      <c r="C55" s="5" t="s">
        <v>68</v>
      </c>
      <c r="D55" s="4" t="str">
        <f>Processes!$A$249</f>
        <v>Responding to a data subject request</v>
      </c>
      <c r="E55" s="8" t="s">
        <v>282</v>
      </c>
      <c r="F55" s="4" t="str">
        <f>Processes!$A$249</f>
        <v>Responding to a data subject request</v>
      </c>
      <c r="G55" s="9" t="s">
        <v>283</v>
      </c>
      <c r="H55" s="9" t="s">
        <v>284</v>
      </c>
      <c r="I55" s="9" t="s">
        <v>212</v>
      </c>
      <c r="J55" s="4" t="str">
        <f>Processes!$A$251</f>
        <v>Regular reporting</v>
      </c>
    </row>
    <row r="56" spans="1:10" ht="76.05" customHeight="1" x14ac:dyDescent="0.45">
      <c r="A56" s="3" t="s">
        <v>30</v>
      </c>
      <c r="B56" s="3" t="s">
        <v>285</v>
      </c>
      <c r="C56" s="5" t="s">
        <v>286</v>
      </c>
      <c r="D56" s="4" t="str">
        <f>Processes!$A$255</f>
        <v>Standing up or retiring an environment or service</v>
      </c>
      <c r="E56" s="4" t="str">
        <f>Processes!$A$255</f>
        <v>Standing up or retiring an environment or service</v>
      </c>
      <c r="F56" s="4" t="str">
        <f>Processes!$A$259</f>
        <v>Running and monitoring the platform</v>
      </c>
      <c r="G56" s="4" t="str">
        <f>Processes!$A$260</f>
        <v>Testing recovery</v>
      </c>
      <c r="H56" s="9" t="s">
        <v>287</v>
      </c>
      <c r="I56" s="9" t="s">
        <v>212</v>
      </c>
      <c r="J56" s="4" t="str">
        <f>Processes!$A$264</f>
        <v>Regular reporting</v>
      </c>
    </row>
    <row r="57" spans="1:10" ht="76.05" customHeight="1" x14ac:dyDescent="0.45">
      <c r="A57" s="3"/>
      <c r="B57" s="3" t="s">
        <v>288</v>
      </c>
      <c r="C57" s="5" t="s">
        <v>286</v>
      </c>
      <c r="D57" s="4" t="str">
        <f>Processes!$A$257</f>
        <v>Changing the platform</v>
      </c>
      <c r="E57" s="8" t="s">
        <v>289</v>
      </c>
      <c r="F57" s="4" t="str">
        <f>Processes!$A$257</f>
        <v>Changing the platform</v>
      </c>
      <c r="G57" s="8" t="s">
        <v>290</v>
      </c>
      <c r="H57" s="9" t="s">
        <v>291</v>
      </c>
      <c r="I57" s="9" t="s">
        <v>212</v>
      </c>
      <c r="J57" s="4" t="str">
        <f>Processes!$A$264</f>
        <v>Regular reporting</v>
      </c>
    </row>
    <row r="58" spans="1:10" ht="76.05" customHeight="1" x14ac:dyDescent="0.45">
      <c r="A58" s="3"/>
      <c r="B58" s="3" t="s">
        <v>1</v>
      </c>
      <c r="C58" s="5" t="s">
        <v>286</v>
      </c>
      <c r="D58" s="4" t="str">
        <f>Processes!$A$262</f>
        <v>Keeping the function inventory current</v>
      </c>
      <c r="E58" s="8" t="s">
        <v>292</v>
      </c>
      <c r="F58" s="8" t="s">
        <v>293</v>
      </c>
      <c r="G58" s="7" t="s">
        <v>294</v>
      </c>
      <c r="H58" s="9" t="s">
        <v>295</v>
      </c>
      <c r="I58" s="9" t="s">
        <v>296</v>
      </c>
      <c r="J58" s="4" t="str">
        <f>Processes!$A$264</f>
        <v>Regular reporting</v>
      </c>
    </row>
    <row r="59" spans="1:10" ht="76.05" customHeight="1" x14ac:dyDescent="0.45">
      <c r="A59" s="3"/>
      <c r="B59" s="3" t="s">
        <v>104</v>
      </c>
      <c r="C59" s="5" t="s">
        <v>286</v>
      </c>
      <c r="D59" s="9" t="s">
        <v>297</v>
      </c>
      <c r="E59" s="9" t="s">
        <v>298</v>
      </c>
      <c r="F59" s="9" t="s">
        <v>299</v>
      </c>
      <c r="G59" s="9" t="s">
        <v>300</v>
      </c>
      <c r="H59" s="9" t="s">
        <v>301</v>
      </c>
      <c r="I59" s="9" t="s">
        <v>212</v>
      </c>
      <c r="J59" s="9" t="s">
        <v>302</v>
      </c>
    </row>
    <row r="60" spans="1:10" ht="76.05" customHeight="1" x14ac:dyDescent="0.45">
      <c r="A60" s="3" t="s">
        <v>31</v>
      </c>
      <c r="B60" s="3" t="s">
        <v>6</v>
      </c>
      <c r="C60" s="5" t="s">
        <v>76</v>
      </c>
      <c r="D60" s="4" t="str">
        <f>Processes!$A$268</f>
        <v>Creating or revising a document</v>
      </c>
      <c r="E60" s="4" t="str">
        <f>Processes!$A$269</f>
        <v>Retiring or superseding a document</v>
      </c>
      <c r="F60" s="8" t="s">
        <v>303</v>
      </c>
      <c r="G60" s="4" t="str">
        <f>Processes!$A$268</f>
        <v>Creating or revising a document</v>
      </c>
      <c r="H60" s="7" t="s">
        <v>304</v>
      </c>
      <c r="I60" s="4" t="str">
        <f>Processes!$A$268</f>
        <v>Creating or revising a document</v>
      </c>
      <c r="J60" s="4" t="str">
        <f>Processes!$A$271</f>
        <v>Confirming the suite covers the standards</v>
      </c>
    </row>
    <row r="61" spans="1:10" ht="76.05" customHeight="1" x14ac:dyDescent="0.45">
      <c r="A61" s="3"/>
      <c r="B61" s="3" t="s">
        <v>305</v>
      </c>
      <c r="C61" s="5" t="s">
        <v>76</v>
      </c>
      <c r="D61" s="4" t="str">
        <f>Processes!$A$271</f>
        <v>Confirming the suite covers the standards</v>
      </c>
      <c r="E61" s="8" t="s">
        <v>306</v>
      </c>
      <c r="F61" s="8" t="s">
        <v>307</v>
      </c>
      <c r="G61" s="4" t="str">
        <f>Processes!$A$271</f>
        <v>Confirming the suite covers the standards</v>
      </c>
      <c r="H61" s="9" t="s">
        <v>308</v>
      </c>
      <c r="I61" s="4" t="str">
        <f>Processes!$A$268</f>
        <v>Creating or revising a document</v>
      </c>
      <c r="J61" s="4" t="str">
        <f>Processes!$A$271</f>
        <v>Confirming the suite covers the standards</v>
      </c>
    </row>
    <row r="62" spans="1:10" ht="76.05" customHeight="1" x14ac:dyDescent="0.45">
      <c r="A62" s="3" t="s">
        <v>32</v>
      </c>
      <c r="B62" s="3" t="s">
        <v>309</v>
      </c>
      <c r="C62" s="5" t="s">
        <v>45</v>
      </c>
      <c r="D62" s="4" t="str">
        <f>Processes!$A$275</f>
        <v>Running a programme activity to completion</v>
      </c>
      <c r="E62" s="8" t="s">
        <v>310</v>
      </c>
      <c r="F62" s="4" t="str">
        <f>Processes!$A$275</f>
        <v>Running a programme activity to completion</v>
      </c>
      <c r="G62" s="8" t="s">
        <v>311</v>
      </c>
      <c r="H62" s="8" t="s">
        <v>312</v>
      </c>
      <c r="I62" s="9" t="s">
        <v>313</v>
      </c>
      <c r="J62" s="4" t="str">
        <f>Processes!$A$277</f>
        <v>Reaching a gate</v>
      </c>
    </row>
    <row r="63" spans="1:10" ht="76.05" customHeight="1" x14ac:dyDescent="0.45">
      <c r="A63" s="3"/>
      <c r="B63" s="3" t="s">
        <v>2</v>
      </c>
      <c r="C63" s="5" t="s">
        <v>45</v>
      </c>
      <c r="D63" s="8" t="s">
        <v>314</v>
      </c>
      <c r="E63" s="4" t="str">
        <f>Processes!$A$277</f>
        <v>Reaching a gate</v>
      </c>
      <c r="F63" s="4" t="str">
        <f>Processes!$A$277</f>
        <v>Reaching a gate</v>
      </c>
      <c r="G63" s="4" t="str">
        <f>Processes!$A$277</f>
        <v>Reaching a gate</v>
      </c>
      <c r="H63" s="7" t="s">
        <v>315</v>
      </c>
      <c r="I63" s="9" t="s">
        <v>212</v>
      </c>
      <c r="J63" s="4" t="str">
        <f>Processes!$A$277</f>
        <v>Reaching a gate</v>
      </c>
    </row>
    <row r="65" spans="1:10" x14ac:dyDescent="0.45">
      <c r="A65" s="15" t="s">
        <v>316</v>
      </c>
      <c r="B65" s="14"/>
      <c r="C65" s="14"/>
      <c r="D65" s="14"/>
      <c r="E65" s="14"/>
      <c r="F65" s="14"/>
      <c r="G65" s="14"/>
      <c r="H65" s="14"/>
      <c r="I65" s="14"/>
      <c r="J65" s="14"/>
    </row>
  </sheetData>
  <mergeCells count="2">
    <mergeCell ref="A65:J65"/>
    <mergeCell ref="A2:J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77"/>
  <sheetViews>
    <sheetView workbookViewId="0">
      <pane xSplit="2" ySplit="4" topLeftCell="C5" activePane="bottomRight" state="frozen"/>
      <selection pane="topRight"/>
      <selection pane="bottomLeft"/>
      <selection pane="bottomRight"/>
    </sheetView>
  </sheetViews>
  <sheetFormatPr defaultRowHeight="14.25" x14ac:dyDescent="0.45"/>
  <cols>
    <col min="1" max="1" width="24" customWidth="1"/>
    <col min="2" max="2" width="44" customWidth="1"/>
    <col min="3" max="3" width="28" customWidth="1"/>
    <col min="4" max="5" width="32" customWidth="1"/>
    <col min="6" max="6" width="36" customWidth="1"/>
    <col min="7" max="7" width="32" customWidth="1"/>
    <col min="8" max="8" width="26" customWidth="1"/>
    <col min="9" max="9" width="28" customWidth="1"/>
    <col min="10" max="10" width="46" customWidth="1"/>
  </cols>
  <sheetData>
    <row r="1" spans="1:10" ht="21" x14ac:dyDescent="0.65">
      <c r="A1" s="1" t="s">
        <v>317</v>
      </c>
    </row>
    <row r="2" spans="1:10" ht="88.05" customHeight="1" x14ac:dyDescent="0.45">
      <c r="A2" s="13" t="s">
        <v>318</v>
      </c>
      <c r="B2" s="14"/>
      <c r="C2" s="14"/>
      <c r="D2" s="14"/>
      <c r="E2" s="14"/>
      <c r="F2" s="14"/>
      <c r="G2" s="14"/>
      <c r="H2" s="14"/>
      <c r="I2" s="14"/>
      <c r="J2" s="14"/>
    </row>
    <row r="4" spans="1:10" x14ac:dyDescent="0.45">
      <c r="A4" s="2" t="s">
        <v>319</v>
      </c>
      <c r="B4" s="2" t="s">
        <v>320</v>
      </c>
      <c r="C4" s="2" t="s">
        <v>321</v>
      </c>
      <c r="D4" s="2" t="s">
        <v>322</v>
      </c>
      <c r="E4" s="2" t="s">
        <v>4</v>
      </c>
      <c r="F4" s="2" t="s">
        <v>0</v>
      </c>
      <c r="G4" s="2" t="s">
        <v>5</v>
      </c>
      <c r="H4" s="2" t="s">
        <v>6</v>
      </c>
      <c r="I4" s="2" t="s">
        <v>7</v>
      </c>
      <c r="J4" s="2" t="s">
        <v>323</v>
      </c>
    </row>
    <row r="5" spans="1:10" ht="30" customHeight="1" x14ac:dyDescent="0.5">
      <c r="A5" s="10" t="s">
        <v>14</v>
      </c>
      <c r="B5" s="16" t="s">
        <v>324</v>
      </c>
      <c r="C5" s="14"/>
      <c r="D5" s="14"/>
      <c r="E5" s="14"/>
      <c r="F5" s="14"/>
      <c r="G5" s="14"/>
      <c r="H5" s="14"/>
      <c r="I5" s="14"/>
      <c r="J5" s="14"/>
    </row>
    <row r="6" spans="1:10" ht="18" customHeight="1" x14ac:dyDescent="0.45">
      <c r="A6" s="11" t="s">
        <v>325</v>
      </c>
    </row>
    <row r="7" spans="1:10" ht="120" customHeight="1" x14ac:dyDescent="0.45">
      <c r="A7" s="3" t="s">
        <v>326</v>
      </c>
      <c r="B7" s="5" t="s">
        <v>327</v>
      </c>
      <c r="C7" s="12" t="s">
        <v>328</v>
      </c>
      <c r="D7" s="12" t="s">
        <v>329</v>
      </c>
      <c r="E7" s="12" t="s">
        <v>330</v>
      </c>
      <c r="F7" s="12" t="s">
        <v>331</v>
      </c>
      <c r="G7" s="12" t="s">
        <v>332</v>
      </c>
      <c r="H7" s="12" t="s">
        <v>333</v>
      </c>
      <c r="I7" s="6" t="s">
        <v>10</v>
      </c>
      <c r="J7" s="5" t="s">
        <v>334</v>
      </c>
    </row>
    <row r="8" spans="1:10" ht="18" customHeight="1" x14ac:dyDescent="0.45">
      <c r="A8" s="11" t="s">
        <v>335</v>
      </c>
    </row>
    <row r="9" spans="1:10" ht="120" customHeight="1" x14ac:dyDescent="0.45">
      <c r="A9" s="3" t="s">
        <v>336</v>
      </c>
      <c r="B9" s="5" t="s">
        <v>337</v>
      </c>
      <c r="C9" s="12" t="s">
        <v>338</v>
      </c>
      <c r="D9" s="12" t="s">
        <v>339</v>
      </c>
      <c r="E9" s="12" t="s">
        <v>340</v>
      </c>
      <c r="F9" s="12" t="s">
        <v>341</v>
      </c>
      <c r="G9" s="12" t="s">
        <v>342</v>
      </c>
      <c r="H9" s="12" t="s">
        <v>343</v>
      </c>
      <c r="I9" s="12" t="s">
        <v>344</v>
      </c>
      <c r="J9" s="5" t="s">
        <v>345</v>
      </c>
    </row>
    <row r="10" spans="1:10" ht="120" customHeight="1" x14ac:dyDescent="0.45">
      <c r="A10" s="3" t="s">
        <v>346</v>
      </c>
      <c r="B10" s="5" t="s">
        <v>347</v>
      </c>
      <c r="C10" s="12" t="s">
        <v>348</v>
      </c>
      <c r="D10" s="12" t="s">
        <v>349</v>
      </c>
      <c r="E10" s="12" t="s">
        <v>350</v>
      </c>
      <c r="F10" s="12" t="s">
        <v>351</v>
      </c>
      <c r="G10" s="12" t="s">
        <v>352</v>
      </c>
      <c r="H10" s="12" t="s">
        <v>353</v>
      </c>
      <c r="I10" s="12" t="s">
        <v>354</v>
      </c>
      <c r="J10" s="5" t="s">
        <v>355</v>
      </c>
    </row>
    <row r="11" spans="1:10" ht="120" customHeight="1" x14ac:dyDescent="0.45">
      <c r="A11" s="3" t="s">
        <v>356</v>
      </c>
      <c r="B11" s="5" t="s">
        <v>357</v>
      </c>
      <c r="C11" s="12" t="s">
        <v>358</v>
      </c>
      <c r="D11" s="12" t="s">
        <v>359</v>
      </c>
      <c r="E11" s="12" t="s">
        <v>360</v>
      </c>
      <c r="F11" s="12" t="s">
        <v>361</v>
      </c>
      <c r="G11" s="12" t="s">
        <v>362</v>
      </c>
      <c r="H11" s="6" t="s">
        <v>363</v>
      </c>
      <c r="I11" s="12" t="s">
        <v>364</v>
      </c>
      <c r="J11" s="5" t="s">
        <v>365</v>
      </c>
    </row>
    <row r="12" spans="1:10" ht="18" customHeight="1" x14ac:dyDescent="0.45">
      <c r="A12" s="11" t="s">
        <v>366</v>
      </c>
    </row>
    <row r="13" spans="1:10" ht="120" customHeight="1" x14ac:dyDescent="0.45">
      <c r="A13" s="3" t="s">
        <v>367</v>
      </c>
      <c r="B13" s="5" t="s">
        <v>368</v>
      </c>
      <c r="C13" s="12" t="s">
        <v>369</v>
      </c>
      <c r="D13" s="12" t="s">
        <v>370</v>
      </c>
      <c r="E13" s="12" t="s">
        <v>371</v>
      </c>
      <c r="F13" s="12" t="s">
        <v>372</v>
      </c>
      <c r="G13" s="12" t="s">
        <v>373</v>
      </c>
      <c r="H13" s="12" t="s">
        <v>374</v>
      </c>
      <c r="I13" s="12" t="s">
        <v>375</v>
      </c>
      <c r="J13" s="5" t="s">
        <v>376</v>
      </c>
    </row>
    <row r="14" spans="1:10" ht="120" customHeight="1" x14ac:dyDescent="0.45">
      <c r="A14" s="3" t="s">
        <v>377</v>
      </c>
      <c r="B14" s="5" t="s">
        <v>378</v>
      </c>
      <c r="C14" s="12" t="s">
        <v>379</v>
      </c>
      <c r="D14" s="12" t="s">
        <v>380</v>
      </c>
      <c r="E14" s="6" t="s">
        <v>381</v>
      </c>
      <c r="F14" s="12" t="s">
        <v>382</v>
      </c>
      <c r="G14" s="12" t="s">
        <v>383</v>
      </c>
      <c r="H14" s="12" t="s">
        <v>384</v>
      </c>
      <c r="I14" s="12" t="s">
        <v>385</v>
      </c>
      <c r="J14" s="5" t="s">
        <v>386</v>
      </c>
    </row>
    <row r="15" spans="1:10" ht="18" customHeight="1" x14ac:dyDescent="0.45">
      <c r="A15" s="11" t="s">
        <v>387</v>
      </c>
    </row>
    <row r="16" spans="1:10" ht="120" customHeight="1" x14ac:dyDescent="0.45">
      <c r="A16" s="3" t="s">
        <v>388</v>
      </c>
      <c r="B16" s="5" t="s">
        <v>389</v>
      </c>
      <c r="C16" s="12" t="s">
        <v>390</v>
      </c>
      <c r="D16" s="12" t="s">
        <v>391</v>
      </c>
      <c r="E16" s="12" t="s">
        <v>392</v>
      </c>
      <c r="F16" s="12" t="s">
        <v>393</v>
      </c>
      <c r="G16" s="12" t="s">
        <v>394</v>
      </c>
      <c r="H16" s="6" t="s">
        <v>395</v>
      </c>
      <c r="I16" s="6" t="s">
        <v>10</v>
      </c>
      <c r="J16" s="5" t="s">
        <v>396</v>
      </c>
    </row>
    <row r="17" spans="1:10" ht="120" customHeight="1" x14ac:dyDescent="0.45">
      <c r="A17" s="3" t="s">
        <v>397</v>
      </c>
      <c r="B17" s="5" t="s">
        <v>398</v>
      </c>
      <c r="C17" s="12" t="s">
        <v>399</v>
      </c>
      <c r="D17" s="12" t="s">
        <v>400</v>
      </c>
      <c r="E17" s="12" t="s">
        <v>401</v>
      </c>
      <c r="F17" s="12" t="s">
        <v>402</v>
      </c>
      <c r="G17" s="6" t="s">
        <v>403</v>
      </c>
      <c r="H17" s="12" t="s">
        <v>404</v>
      </c>
      <c r="I17" s="6" t="s">
        <v>10</v>
      </c>
      <c r="J17" s="5" t="s">
        <v>405</v>
      </c>
    </row>
    <row r="18" spans="1:10" ht="120" customHeight="1" x14ac:dyDescent="0.45">
      <c r="A18" s="3" t="s">
        <v>406</v>
      </c>
      <c r="B18" s="5" t="s">
        <v>407</v>
      </c>
      <c r="C18" s="12" t="s">
        <v>408</v>
      </c>
      <c r="D18" s="12" t="s">
        <v>409</v>
      </c>
      <c r="E18" s="12" t="s">
        <v>410</v>
      </c>
      <c r="F18" s="12" t="s">
        <v>411</v>
      </c>
      <c r="G18" s="12" t="s">
        <v>412</v>
      </c>
      <c r="H18" s="6" t="s">
        <v>10</v>
      </c>
      <c r="I18" s="6" t="s">
        <v>10</v>
      </c>
      <c r="J18" s="5" t="s">
        <v>413</v>
      </c>
    </row>
    <row r="19" spans="1:10" ht="18" customHeight="1" x14ac:dyDescent="0.45">
      <c r="A19" s="11" t="s">
        <v>414</v>
      </c>
    </row>
    <row r="20" spans="1:10" ht="120" customHeight="1" x14ac:dyDescent="0.45">
      <c r="A20" s="3" t="s">
        <v>415</v>
      </c>
      <c r="B20" s="5" t="s">
        <v>416</v>
      </c>
      <c r="C20" s="12" t="s">
        <v>417</v>
      </c>
      <c r="D20" s="12" t="s">
        <v>418</v>
      </c>
      <c r="E20" s="12" t="s">
        <v>419</v>
      </c>
      <c r="F20" s="12" t="s">
        <v>420</v>
      </c>
      <c r="G20" s="12" t="s">
        <v>421</v>
      </c>
      <c r="H20" s="12" t="s">
        <v>422</v>
      </c>
      <c r="I20" s="12" t="s">
        <v>423</v>
      </c>
      <c r="J20" s="5" t="s">
        <v>424</v>
      </c>
    </row>
    <row r="22" spans="1:10" ht="30" customHeight="1" x14ac:dyDescent="0.5">
      <c r="A22" s="10" t="s">
        <v>8</v>
      </c>
      <c r="B22" s="16" t="s">
        <v>425</v>
      </c>
      <c r="C22" s="14"/>
      <c r="D22" s="14"/>
      <c r="E22" s="14"/>
      <c r="F22" s="14"/>
      <c r="G22" s="14"/>
      <c r="H22" s="14"/>
      <c r="I22" s="14"/>
      <c r="J22" s="14"/>
    </row>
    <row r="23" spans="1:10" ht="18" customHeight="1" x14ac:dyDescent="0.45">
      <c r="A23" s="11" t="s">
        <v>426</v>
      </c>
    </row>
    <row r="24" spans="1:10" ht="120" customHeight="1" x14ac:dyDescent="0.45">
      <c r="A24" s="3" t="s">
        <v>427</v>
      </c>
      <c r="B24" s="5" t="s">
        <v>428</v>
      </c>
      <c r="C24" s="12" t="s">
        <v>429</v>
      </c>
      <c r="D24" s="12" t="s">
        <v>430</v>
      </c>
      <c r="E24" s="12" t="s">
        <v>431</v>
      </c>
      <c r="F24" s="12" t="s">
        <v>432</v>
      </c>
      <c r="G24" s="12" t="s">
        <v>433</v>
      </c>
      <c r="H24" s="6" t="s">
        <v>434</v>
      </c>
      <c r="I24" s="6" t="s">
        <v>435</v>
      </c>
      <c r="J24" s="5" t="s">
        <v>436</v>
      </c>
    </row>
    <row r="25" spans="1:10" ht="120" customHeight="1" x14ac:dyDescent="0.45">
      <c r="A25" s="3" t="s">
        <v>437</v>
      </c>
      <c r="B25" s="5" t="s">
        <v>438</v>
      </c>
      <c r="C25" s="12" t="s">
        <v>439</v>
      </c>
      <c r="D25" s="12" t="s">
        <v>440</v>
      </c>
      <c r="E25" s="6" t="s">
        <v>441</v>
      </c>
      <c r="F25" s="12" t="s">
        <v>442</v>
      </c>
      <c r="G25" s="12" t="s">
        <v>443</v>
      </c>
      <c r="H25" s="6" t="s">
        <v>10</v>
      </c>
      <c r="I25" s="6" t="s">
        <v>444</v>
      </c>
      <c r="J25" s="5" t="s">
        <v>445</v>
      </c>
    </row>
    <row r="26" spans="1:10" ht="120" customHeight="1" x14ac:dyDescent="0.45">
      <c r="A26" s="3" t="s">
        <v>446</v>
      </c>
      <c r="B26" s="5" t="s">
        <v>447</v>
      </c>
      <c r="C26" s="12" t="s">
        <v>448</v>
      </c>
      <c r="D26" s="12" t="s">
        <v>449</v>
      </c>
      <c r="E26" s="12" t="s">
        <v>450</v>
      </c>
      <c r="F26" s="12" t="s">
        <v>451</v>
      </c>
      <c r="G26" s="12" t="s">
        <v>452</v>
      </c>
      <c r="H26" s="6" t="s">
        <v>10</v>
      </c>
      <c r="I26" s="6" t="s">
        <v>10</v>
      </c>
      <c r="J26" s="5" t="s">
        <v>453</v>
      </c>
    </row>
    <row r="27" spans="1:10" ht="18" customHeight="1" x14ac:dyDescent="0.45">
      <c r="A27" s="11" t="s">
        <v>454</v>
      </c>
    </row>
    <row r="28" spans="1:10" ht="120" customHeight="1" x14ac:dyDescent="0.45">
      <c r="A28" s="3" t="s">
        <v>455</v>
      </c>
      <c r="B28" s="5" t="s">
        <v>456</v>
      </c>
      <c r="C28" s="12" t="s">
        <v>457</v>
      </c>
      <c r="D28" s="12" t="s">
        <v>458</v>
      </c>
      <c r="E28" s="12" t="s">
        <v>459</v>
      </c>
      <c r="F28" s="12" t="s">
        <v>460</v>
      </c>
      <c r="G28" s="12" t="s">
        <v>461</v>
      </c>
      <c r="H28" s="12" t="s">
        <v>462</v>
      </c>
      <c r="I28" s="6" t="s">
        <v>10</v>
      </c>
      <c r="J28" s="5" t="s">
        <v>463</v>
      </c>
    </row>
    <row r="29" spans="1:10" ht="18" customHeight="1" x14ac:dyDescent="0.45">
      <c r="A29" s="11" t="s">
        <v>464</v>
      </c>
    </row>
    <row r="30" spans="1:10" ht="120" customHeight="1" x14ac:dyDescent="0.45">
      <c r="A30" s="3" t="s">
        <v>465</v>
      </c>
      <c r="B30" s="5" t="s">
        <v>466</v>
      </c>
      <c r="C30" s="12" t="s">
        <v>467</v>
      </c>
      <c r="D30" s="12" t="s">
        <v>468</v>
      </c>
      <c r="E30" s="12" t="s">
        <v>469</v>
      </c>
      <c r="F30" s="12" t="s">
        <v>470</v>
      </c>
      <c r="G30" s="12" t="s">
        <v>471</v>
      </c>
      <c r="H30" s="12" t="s">
        <v>472</v>
      </c>
      <c r="I30" s="12" t="s">
        <v>473</v>
      </c>
      <c r="J30" s="5" t="s">
        <v>474</v>
      </c>
    </row>
    <row r="31" spans="1:10" ht="18" customHeight="1" x14ac:dyDescent="0.45">
      <c r="A31" s="11" t="s">
        <v>475</v>
      </c>
    </row>
    <row r="32" spans="1:10" ht="120" customHeight="1" x14ac:dyDescent="0.45">
      <c r="A32" s="3" t="s">
        <v>476</v>
      </c>
      <c r="B32" s="5" t="s">
        <v>477</v>
      </c>
      <c r="C32" s="12" t="s">
        <v>478</v>
      </c>
      <c r="D32" s="12" t="s">
        <v>479</v>
      </c>
      <c r="E32" s="12" t="s">
        <v>480</v>
      </c>
      <c r="F32" s="12" t="s">
        <v>481</v>
      </c>
      <c r="G32" s="12" t="s">
        <v>482</v>
      </c>
      <c r="H32" s="12" t="s">
        <v>483</v>
      </c>
      <c r="I32" s="12" t="s">
        <v>484</v>
      </c>
      <c r="J32" s="5" t="s">
        <v>485</v>
      </c>
    </row>
    <row r="33" spans="1:10" ht="120" customHeight="1" x14ac:dyDescent="0.45">
      <c r="A33" s="3" t="s">
        <v>486</v>
      </c>
      <c r="B33" s="5" t="s">
        <v>487</v>
      </c>
      <c r="C33" s="12" t="s">
        <v>488</v>
      </c>
      <c r="D33" s="12" t="s">
        <v>489</v>
      </c>
      <c r="E33" s="12" t="s">
        <v>490</v>
      </c>
      <c r="F33" s="12" t="s">
        <v>491</v>
      </c>
      <c r="G33" s="12" t="s">
        <v>492</v>
      </c>
      <c r="H33" s="6" t="s">
        <v>10</v>
      </c>
      <c r="I33" s="6" t="s">
        <v>493</v>
      </c>
      <c r="J33" s="5" t="s">
        <v>494</v>
      </c>
    </row>
    <row r="34" spans="1:10" ht="120" customHeight="1" x14ac:dyDescent="0.45">
      <c r="A34" s="3" t="s">
        <v>495</v>
      </c>
      <c r="B34" s="5" t="s">
        <v>496</v>
      </c>
      <c r="C34" s="12" t="s">
        <v>497</v>
      </c>
      <c r="D34" s="12" t="s">
        <v>498</v>
      </c>
      <c r="E34" s="12" t="s">
        <v>499</v>
      </c>
      <c r="F34" s="12" t="s">
        <v>500</v>
      </c>
      <c r="G34" s="12" t="s">
        <v>501</v>
      </c>
      <c r="H34" s="12" t="s">
        <v>502</v>
      </c>
      <c r="I34" s="12" t="s">
        <v>503</v>
      </c>
      <c r="J34" s="5" t="s">
        <v>504</v>
      </c>
    </row>
    <row r="35" spans="1:10" ht="18" customHeight="1" x14ac:dyDescent="0.45">
      <c r="A35" s="11" t="s">
        <v>414</v>
      </c>
    </row>
    <row r="36" spans="1:10" ht="120" customHeight="1" x14ac:dyDescent="0.45">
      <c r="A36" s="3" t="s">
        <v>415</v>
      </c>
      <c r="B36" s="5" t="s">
        <v>505</v>
      </c>
      <c r="C36" s="12" t="s">
        <v>506</v>
      </c>
      <c r="D36" s="12" t="s">
        <v>507</v>
      </c>
      <c r="E36" s="12" t="s">
        <v>508</v>
      </c>
      <c r="F36" s="12" t="s">
        <v>509</v>
      </c>
      <c r="G36" s="12" t="s">
        <v>510</v>
      </c>
      <c r="H36" s="12" t="s">
        <v>511</v>
      </c>
      <c r="I36" s="12" t="s">
        <v>512</v>
      </c>
      <c r="J36" s="5" t="s">
        <v>513</v>
      </c>
    </row>
    <row r="38" spans="1:10" ht="30" customHeight="1" x14ac:dyDescent="0.5">
      <c r="A38" s="10" t="s">
        <v>9</v>
      </c>
      <c r="B38" s="16" t="s">
        <v>514</v>
      </c>
      <c r="C38" s="14"/>
      <c r="D38" s="14"/>
      <c r="E38" s="14"/>
      <c r="F38" s="14"/>
      <c r="G38" s="14"/>
      <c r="H38" s="14"/>
      <c r="I38" s="14"/>
      <c r="J38" s="14"/>
    </row>
    <row r="39" spans="1:10" ht="18" customHeight="1" x14ac:dyDescent="0.45">
      <c r="A39" s="11" t="s">
        <v>515</v>
      </c>
    </row>
    <row r="40" spans="1:10" ht="120" customHeight="1" x14ac:dyDescent="0.45">
      <c r="A40" s="3" t="s">
        <v>516</v>
      </c>
      <c r="B40" s="5" t="s">
        <v>517</v>
      </c>
      <c r="C40" s="12" t="s">
        <v>518</v>
      </c>
      <c r="D40" s="12" t="s">
        <v>519</v>
      </c>
      <c r="E40" s="12" t="s">
        <v>520</v>
      </c>
      <c r="F40" s="12" t="s">
        <v>521</v>
      </c>
      <c r="G40" s="12" t="s">
        <v>522</v>
      </c>
      <c r="H40" s="6" t="s">
        <v>523</v>
      </c>
      <c r="I40" s="6" t="s">
        <v>524</v>
      </c>
      <c r="J40" s="5" t="s">
        <v>525</v>
      </c>
    </row>
    <row r="41" spans="1:10" ht="120" customHeight="1" x14ac:dyDescent="0.45">
      <c r="A41" s="3" t="s">
        <v>526</v>
      </c>
      <c r="B41" s="5" t="s">
        <v>527</v>
      </c>
      <c r="C41" s="12" t="s">
        <v>528</v>
      </c>
      <c r="D41" s="12" t="s">
        <v>529</v>
      </c>
      <c r="E41" s="6" t="s">
        <v>530</v>
      </c>
      <c r="F41" s="12" t="s">
        <v>531</v>
      </c>
      <c r="G41" s="12" t="s">
        <v>532</v>
      </c>
      <c r="H41" s="6" t="s">
        <v>10</v>
      </c>
      <c r="I41" s="6" t="s">
        <v>533</v>
      </c>
      <c r="J41" s="5" t="s">
        <v>534</v>
      </c>
    </row>
    <row r="42" spans="1:10" ht="120" customHeight="1" x14ac:dyDescent="0.45">
      <c r="A42" s="3" t="s">
        <v>535</v>
      </c>
      <c r="B42" s="5" t="s">
        <v>536</v>
      </c>
      <c r="C42" s="12" t="s">
        <v>518</v>
      </c>
      <c r="D42" s="12" t="s">
        <v>537</v>
      </c>
      <c r="E42" s="6" t="s">
        <v>538</v>
      </c>
      <c r="F42" s="12" t="s">
        <v>539</v>
      </c>
      <c r="G42" s="12" t="s">
        <v>540</v>
      </c>
      <c r="H42" s="6" t="s">
        <v>10</v>
      </c>
      <c r="I42" s="12" t="s">
        <v>541</v>
      </c>
      <c r="J42" s="5" t="s">
        <v>542</v>
      </c>
    </row>
    <row r="43" spans="1:10" ht="120" customHeight="1" x14ac:dyDescent="0.45">
      <c r="A43" s="3" t="s">
        <v>543</v>
      </c>
      <c r="B43" s="5" t="s">
        <v>544</v>
      </c>
      <c r="C43" s="12" t="s">
        <v>545</v>
      </c>
      <c r="D43" s="12" t="s">
        <v>546</v>
      </c>
      <c r="E43" s="12" t="s">
        <v>547</v>
      </c>
      <c r="F43" s="12" t="s">
        <v>548</v>
      </c>
      <c r="G43" s="12" t="s">
        <v>549</v>
      </c>
      <c r="H43" s="12" t="s">
        <v>550</v>
      </c>
      <c r="I43" s="12" t="s">
        <v>551</v>
      </c>
      <c r="J43" s="5" t="s">
        <v>552</v>
      </c>
    </row>
    <row r="44" spans="1:10" ht="120" customHeight="1" x14ac:dyDescent="0.45">
      <c r="A44" s="3" t="s">
        <v>553</v>
      </c>
      <c r="B44" s="5" t="s">
        <v>554</v>
      </c>
      <c r="C44" s="12" t="s">
        <v>555</v>
      </c>
      <c r="D44" s="12" t="s">
        <v>556</v>
      </c>
      <c r="E44" s="12" t="s">
        <v>557</v>
      </c>
      <c r="F44" s="12" t="s">
        <v>558</v>
      </c>
      <c r="G44" s="12" t="s">
        <v>559</v>
      </c>
      <c r="H44" s="6" t="s">
        <v>10</v>
      </c>
      <c r="I44" s="6" t="s">
        <v>10</v>
      </c>
      <c r="J44" s="5" t="s">
        <v>560</v>
      </c>
    </row>
    <row r="45" spans="1:10" ht="18" customHeight="1" x14ac:dyDescent="0.45">
      <c r="A45" s="11" t="s">
        <v>414</v>
      </c>
    </row>
    <row r="46" spans="1:10" ht="120" customHeight="1" x14ac:dyDescent="0.45">
      <c r="A46" s="3" t="s">
        <v>415</v>
      </c>
      <c r="B46" s="5" t="s">
        <v>561</v>
      </c>
      <c r="C46" s="12" t="s">
        <v>506</v>
      </c>
      <c r="D46" s="12" t="s">
        <v>562</v>
      </c>
      <c r="E46" s="12" t="s">
        <v>563</v>
      </c>
      <c r="F46" s="12" t="s">
        <v>564</v>
      </c>
      <c r="G46" s="12" t="s">
        <v>565</v>
      </c>
      <c r="H46" s="12" t="s">
        <v>566</v>
      </c>
      <c r="I46" s="12" t="s">
        <v>567</v>
      </c>
      <c r="J46" s="5" t="s">
        <v>568</v>
      </c>
    </row>
    <row r="48" spans="1:10" ht="30" customHeight="1" x14ac:dyDescent="0.5">
      <c r="A48" s="10" t="s">
        <v>12</v>
      </c>
      <c r="B48" s="16" t="s">
        <v>569</v>
      </c>
      <c r="C48" s="14"/>
      <c r="D48" s="14"/>
      <c r="E48" s="14"/>
      <c r="F48" s="14"/>
      <c r="G48" s="14"/>
      <c r="H48" s="14"/>
      <c r="I48" s="14"/>
      <c r="J48" s="14"/>
    </row>
    <row r="49" spans="1:10" ht="18" customHeight="1" x14ac:dyDescent="0.45">
      <c r="A49" s="11" t="s">
        <v>570</v>
      </c>
    </row>
    <row r="50" spans="1:10" ht="120" customHeight="1" x14ac:dyDescent="0.45">
      <c r="A50" s="3" t="s">
        <v>571</v>
      </c>
      <c r="B50" s="5" t="s">
        <v>572</v>
      </c>
      <c r="C50" s="12" t="s">
        <v>573</v>
      </c>
      <c r="D50" s="12" t="s">
        <v>574</v>
      </c>
      <c r="E50" s="12" t="s">
        <v>575</v>
      </c>
      <c r="F50" s="12" t="s">
        <v>576</v>
      </c>
      <c r="G50" s="12" t="s">
        <v>577</v>
      </c>
      <c r="H50" s="6" t="s">
        <v>578</v>
      </c>
      <c r="I50" s="6" t="s">
        <v>10</v>
      </c>
      <c r="J50" s="5" t="s">
        <v>579</v>
      </c>
    </row>
    <row r="51" spans="1:10" ht="120" customHeight="1" x14ac:dyDescent="0.45">
      <c r="A51" s="3" t="s">
        <v>580</v>
      </c>
      <c r="B51" s="5" t="s">
        <v>581</v>
      </c>
      <c r="C51" s="12" t="s">
        <v>582</v>
      </c>
      <c r="D51" s="12" t="s">
        <v>583</v>
      </c>
      <c r="E51" s="6" t="s">
        <v>584</v>
      </c>
      <c r="F51" s="12" t="s">
        <v>585</v>
      </c>
      <c r="G51" s="12" t="s">
        <v>586</v>
      </c>
      <c r="H51" s="6" t="s">
        <v>10</v>
      </c>
      <c r="I51" s="6" t="s">
        <v>10</v>
      </c>
      <c r="J51" s="5" t="s">
        <v>587</v>
      </c>
    </row>
    <row r="52" spans="1:10" ht="120" customHeight="1" x14ac:dyDescent="0.45">
      <c r="A52" s="3" t="s">
        <v>588</v>
      </c>
      <c r="B52" s="5" t="s">
        <v>589</v>
      </c>
      <c r="C52" s="12" t="s">
        <v>590</v>
      </c>
      <c r="D52" s="12" t="s">
        <v>591</v>
      </c>
      <c r="E52" s="6" t="s">
        <v>592</v>
      </c>
      <c r="F52" s="12" t="s">
        <v>593</v>
      </c>
      <c r="G52" s="12" t="s">
        <v>594</v>
      </c>
      <c r="H52" s="6" t="s">
        <v>10</v>
      </c>
      <c r="I52" s="6" t="s">
        <v>10</v>
      </c>
      <c r="J52" s="5" t="s">
        <v>595</v>
      </c>
    </row>
    <row r="53" spans="1:10" ht="18" customHeight="1" x14ac:dyDescent="0.45">
      <c r="A53" s="11" t="s">
        <v>596</v>
      </c>
    </row>
    <row r="54" spans="1:10" ht="120" customHeight="1" x14ac:dyDescent="0.45">
      <c r="A54" s="3" t="s">
        <v>597</v>
      </c>
      <c r="B54" s="5" t="s">
        <v>598</v>
      </c>
      <c r="C54" s="12" t="s">
        <v>599</v>
      </c>
      <c r="D54" s="12" t="s">
        <v>600</v>
      </c>
      <c r="E54" s="12" t="s">
        <v>601</v>
      </c>
      <c r="F54" s="12" t="s">
        <v>602</v>
      </c>
      <c r="G54" s="12" t="s">
        <v>603</v>
      </c>
      <c r="H54" s="6" t="s">
        <v>10</v>
      </c>
      <c r="I54" s="6" t="s">
        <v>10</v>
      </c>
      <c r="J54" s="5" t="s">
        <v>604</v>
      </c>
    </row>
    <row r="55" spans="1:10" ht="120" customHeight="1" x14ac:dyDescent="0.45">
      <c r="A55" s="3" t="s">
        <v>605</v>
      </c>
      <c r="B55" s="5" t="s">
        <v>606</v>
      </c>
      <c r="C55" s="12" t="s">
        <v>607</v>
      </c>
      <c r="D55" s="12" t="s">
        <v>608</v>
      </c>
      <c r="E55" s="6" t="s">
        <v>609</v>
      </c>
      <c r="F55" s="12" t="s">
        <v>610</v>
      </c>
      <c r="G55" s="12" t="s">
        <v>611</v>
      </c>
      <c r="H55" s="6" t="s">
        <v>10</v>
      </c>
      <c r="I55" s="6" t="s">
        <v>10</v>
      </c>
      <c r="J55" s="5" t="s">
        <v>612</v>
      </c>
    </row>
    <row r="56" spans="1:10" ht="120" customHeight="1" x14ac:dyDescent="0.45">
      <c r="A56" s="3" t="s">
        <v>613</v>
      </c>
      <c r="B56" s="5" t="s">
        <v>614</v>
      </c>
      <c r="C56" s="12" t="s">
        <v>615</v>
      </c>
      <c r="D56" s="12" t="s">
        <v>616</v>
      </c>
      <c r="E56" s="12" t="s">
        <v>617</v>
      </c>
      <c r="F56" s="12" t="s">
        <v>618</v>
      </c>
      <c r="G56" s="12" t="s">
        <v>619</v>
      </c>
      <c r="H56" s="6" t="s">
        <v>10</v>
      </c>
      <c r="I56" s="6" t="s">
        <v>10</v>
      </c>
      <c r="J56" s="5" t="s">
        <v>620</v>
      </c>
    </row>
    <row r="57" spans="1:10" ht="120" customHeight="1" x14ac:dyDescent="0.45">
      <c r="A57" s="3" t="s">
        <v>621</v>
      </c>
      <c r="B57" s="5" t="s">
        <v>622</v>
      </c>
      <c r="C57" s="12" t="s">
        <v>623</v>
      </c>
      <c r="D57" s="12" t="s">
        <v>624</v>
      </c>
      <c r="E57" s="12" t="s">
        <v>625</v>
      </c>
      <c r="F57" s="12" t="s">
        <v>626</v>
      </c>
      <c r="G57" s="12" t="s">
        <v>627</v>
      </c>
      <c r="H57" s="6" t="s">
        <v>10</v>
      </c>
      <c r="I57" s="12" t="s">
        <v>628</v>
      </c>
      <c r="J57" s="5" t="s">
        <v>629</v>
      </c>
    </row>
    <row r="58" spans="1:10" ht="18" customHeight="1" x14ac:dyDescent="0.45">
      <c r="A58" s="11" t="s">
        <v>414</v>
      </c>
    </row>
    <row r="59" spans="1:10" ht="120" customHeight="1" x14ac:dyDescent="0.45">
      <c r="A59" s="3" t="s">
        <v>415</v>
      </c>
      <c r="B59" s="5" t="s">
        <v>630</v>
      </c>
      <c r="C59" s="12" t="s">
        <v>506</v>
      </c>
      <c r="D59" s="12" t="s">
        <v>631</v>
      </c>
      <c r="E59" s="12" t="s">
        <v>632</v>
      </c>
      <c r="F59" s="12" t="s">
        <v>633</v>
      </c>
      <c r="G59" s="12" t="s">
        <v>634</v>
      </c>
      <c r="H59" s="12" t="s">
        <v>635</v>
      </c>
      <c r="I59" s="12" t="s">
        <v>636</v>
      </c>
      <c r="J59" s="5" t="s">
        <v>637</v>
      </c>
    </row>
    <row r="61" spans="1:10" ht="30" customHeight="1" x14ac:dyDescent="0.5">
      <c r="A61" s="10" t="s">
        <v>18</v>
      </c>
      <c r="B61" s="16" t="s">
        <v>638</v>
      </c>
      <c r="C61" s="14"/>
      <c r="D61" s="14"/>
      <c r="E61" s="14"/>
      <c r="F61" s="14"/>
      <c r="G61" s="14"/>
      <c r="H61" s="14"/>
      <c r="I61" s="14"/>
      <c r="J61" s="14"/>
    </row>
    <row r="62" spans="1:10" ht="18" customHeight="1" x14ac:dyDescent="0.45">
      <c r="A62" s="11" t="s">
        <v>639</v>
      </c>
    </row>
    <row r="63" spans="1:10" ht="120" customHeight="1" x14ac:dyDescent="0.45">
      <c r="A63" s="3" t="s">
        <v>640</v>
      </c>
      <c r="B63" s="5" t="s">
        <v>641</v>
      </c>
      <c r="C63" s="12" t="s">
        <v>642</v>
      </c>
      <c r="D63" s="12" t="s">
        <v>643</v>
      </c>
      <c r="E63" s="12" t="s">
        <v>644</v>
      </c>
      <c r="F63" s="12" t="s">
        <v>645</v>
      </c>
      <c r="G63" s="12" t="s">
        <v>646</v>
      </c>
      <c r="H63" s="6" t="s">
        <v>647</v>
      </c>
      <c r="I63" s="6" t="s">
        <v>10</v>
      </c>
      <c r="J63" s="5" t="s">
        <v>648</v>
      </c>
    </row>
    <row r="64" spans="1:10" ht="120" customHeight="1" x14ac:dyDescent="0.45">
      <c r="A64" s="3" t="s">
        <v>649</v>
      </c>
      <c r="B64" s="5" t="s">
        <v>650</v>
      </c>
      <c r="C64" s="12" t="s">
        <v>651</v>
      </c>
      <c r="D64" s="12" t="s">
        <v>652</v>
      </c>
      <c r="E64" s="12" t="s">
        <v>653</v>
      </c>
      <c r="F64" s="12" t="s">
        <v>654</v>
      </c>
      <c r="G64" s="12" t="s">
        <v>655</v>
      </c>
      <c r="H64" s="6" t="s">
        <v>10</v>
      </c>
      <c r="I64" s="6" t="s">
        <v>10</v>
      </c>
      <c r="J64" s="5" t="s">
        <v>656</v>
      </c>
    </row>
    <row r="65" spans="1:10" ht="120" customHeight="1" x14ac:dyDescent="0.45">
      <c r="A65" s="3" t="s">
        <v>657</v>
      </c>
      <c r="B65" s="5" t="s">
        <v>658</v>
      </c>
      <c r="C65" s="12" t="s">
        <v>659</v>
      </c>
      <c r="D65" s="12" t="s">
        <v>660</v>
      </c>
      <c r="E65" s="6" t="s">
        <v>661</v>
      </c>
      <c r="F65" s="12" t="s">
        <v>662</v>
      </c>
      <c r="G65" s="12" t="s">
        <v>663</v>
      </c>
      <c r="H65" s="6" t="s">
        <v>10</v>
      </c>
      <c r="I65" s="6" t="s">
        <v>10</v>
      </c>
      <c r="J65" s="5" t="s">
        <v>664</v>
      </c>
    </row>
    <row r="66" spans="1:10" ht="18" customHeight="1" x14ac:dyDescent="0.45">
      <c r="A66" s="11" t="s">
        <v>454</v>
      </c>
    </row>
    <row r="67" spans="1:10" ht="120" customHeight="1" x14ac:dyDescent="0.45">
      <c r="A67" s="3" t="s">
        <v>665</v>
      </c>
      <c r="B67" s="5" t="s">
        <v>666</v>
      </c>
      <c r="C67" s="12" t="s">
        <v>667</v>
      </c>
      <c r="D67" s="12" t="s">
        <v>668</v>
      </c>
      <c r="E67" s="12" t="s">
        <v>669</v>
      </c>
      <c r="F67" s="12" t="s">
        <v>670</v>
      </c>
      <c r="G67" s="12" t="s">
        <v>671</v>
      </c>
      <c r="H67" s="12" t="s">
        <v>672</v>
      </c>
      <c r="I67" s="6" t="s">
        <v>10</v>
      </c>
      <c r="J67" s="5" t="s">
        <v>673</v>
      </c>
    </row>
    <row r="68" spans="1:10" ht="18" customHeight="1" x14ac:dyDescent="0.45">
      <c r="A68" s="11" t="s">
        <v>674</v>
      </c>
    </row>
    <row r="69" spans="1:10" ht="120" customHeight="1" x14ac:dyDescent="0.45">
      <c r="A69" s="3" t="s">
        <v>675</v>
      </c>
      <c r="B69" s="5" t="s">
        <v>676</v>
      </c>
      <c r="C69" s="12" t="s">
        <v>677</v>
      </c>
      <c r="D69" s="12" t="s">
        <v>678</v>
      </c>
      <c r="E69" s="6" t="s">
        <v>679</v>
      </c>
      <c r="F69" s="12" t="s">
        <v>680</v>
      </c>
      <c r="G69" s="12" t="s">
        <v>681</v>
      </c>
      <c r="H69" s="12" t="s">
        <v>682</v>
      </c>
      <c r="I69" s="12" t="s">
        <v>683</v>
      </c>
      <c r="J69" s="5" t="s">
        <v>684</v>
      </c>
    </row>
    <row r="70" spans="1:10" ht="18" customHeight="1" x14ac:dyDescent="0.45">
      <c r="A70" s="11" t="s">
        <v>414</v>
      </c>
    </row>
    <row r="71" spans="1:10" ht="120" customHeight="1" x14ac:dyDescent="0.45">
      <c r="A71" s="3" t="s">
        <v>415</v>
      </c>
      <c r="B71" s="5" t="s">
        <v>685</v>
      </c>
      <c r="C71" s="12" t="s">
        <v>506</v>
      </c>
      <c r="D71" s="12" t="s">
        <v>686</v>
      </c>
      <c r="E71" s="12" t="s">
        <v>632</v>
      </c>
      <c r="F71" s="12" t="s">
        <v>687</v>
      </c>
      <c r="G71" s="12" t="s">
        <v>688</v>
      </c>
      <c r="H71" s="12" t="s">
        <v>689</v>
      </c>
      <c r="I71" s="12" t="s">
        <v>690</v>
      </c>
      <c r="J71" s="5" t="s">
        <v>691</v>
      </c>
    </row>
    <row r="73" spans="1:10" ht="30" customHeight="1" x14ac:dyDescent="0.5">
      <c r="A73" s="10" t="s">
        <v>11</v>
      </c>
      <c r="B73" s="16" t="s">
        <v>692</v>
      </c>
      <c r="C73" s="14"/>
      <c r="D73" s="14"/>
      <c r="E73" s="14"/>
      <c r="F73" s="14"/>
      <c r="G73" s="14"/>
      <c r="H73" s="14"/>
      <c r="I73" s="14"/>
      <c r="J73" s="14"/>
    </row>
    <row r="74" spans="1:10" ht="18" customHeight="1" x14ac:dyDescent="0.45">
      <c r="A74" s="11" t="s">
        <v>693</v>
      </c>
    </row>
    <row r="75" spans="1:10" ht="120" customHeight="1" x14ac:dyDescent="0.45">
      <c r="A75" s="3" t="s">
        <v>694</v>
      </c>
      <c r="B75" s="5" t="s">
        <v>695</v>
      </c>
      <c r="C75" s="12" t="s">
        <v>696</v>
      </c>
      <c r="D75" s="12" t="s">
        <v>697</v>
      </c>
      <c r="E75" s="12" t="s">
        <v>698</v>
      </c>
      <c r="F75" s="12" t="s">
        <v>699</v>
      </c>
      <c r="G75" s="12" t="s">
        <v>700</v>
      </c>
      <c r="H75" s="6" t="s">
        <v>701</v>
      </c>
      <c r="I75" s="6" t="s">
        <v>10</v>
      </c>
      <c r="J75" s="5" t="s">
        <v>702</v>
      </c>
    </row>
    <row r="76" spans="1:10" ht="18" customHeight="1" x14ac:dyDescent="0.45">
      <c r="A76" s="11" t="s">
        <v>703</v>
      </c>
    </row>
    <row r="77" spans="1:10" ht="120" customHeight="1" x14ac:dyDescent="0.45">
      <c r="A77" s="3" t="s">
        <v>704</v>
      </c>
      <c r="B77" s="5" t="s">
        <v>705</v>
      </c>
      <c r="C77" s="12" t="s">
        <v>706</v>
      </c>
      <c r="D77" s="12" t="s">
        <v>707</v>
      </c>
      <c r="E77" s="12" t="s">
        <v>708</v>
      </c>
      <c r="F77" s="12" t="s">
        <v>709</v>
      </c>
      <c r="G77" s="12" t="s">
        <v>710</v>
      </c>
      <c r="H77" s="6" t="s">
        <v>10</v>
      </c>
      <c r="I77" s="6" t="s">
        <v>10</v>
      </c>
      <c r="J77" s="5" t="s">
        <v>711</v>
      </c>
    </row>
    <row r="78" spans="1:10" ht="120" customHeight="1" x14ac:dyDescent="0.45">
      <c r="A78" s="3" t="s">
        <v>712</v>
      </c>
      <c r="B78" s="5" t="s">
        <v>713</v>
      </c>
      <c r="C78" s="12" t="s">
        <v>714</v>
      </c>
      <c r="D78" s="12" t="s">
        <v>715</v>
      </c>
      <c r="E78" s="6" t="s">
        <v>716</v>
      </c>
      <c r="F78" s="12" t="s">
        <v>717</v>
      </c>
      <c r="G78" s="12" t="s">
        <v>718</v>
      </c>
      <c r="H78" s="6" t="s">
        <v>10</v>
      </c>
      <c r="I78" s="6" t="s">
        <v>10</v>
      </c>
      <c r="J78" s="5" t="s">
        <v>719</v>
      </c>
    </row>
    <row r="79" spans="1:10" ht="120" customHeight="1" x14ac:dyDescent="0.45">
      <c r="A79" s="3" t="s">
        <v>720</v>
      </c>
      <c r="B79" s="5" t="s">
        <v>721</v>
      </c>
      <c r="C79" s="12" t="s">
        <v>722</v>
      </c>
      <c r="D79" s="12" t="s">
        <v>723</v>
      </c>
      <c r="E79" s="12" t="s">
        <v>724</v>
      </c>
      <c r="F79" s="12" t="s">
        <v>725</v>
      </c>
      <c r="G79" s="12" t="s">
        <v>726</v>
      </c>
      <c r="H79" s="6" t="s">
        <v>10</v>
      </c>
      <c r="I79" s="6" t="s">
        <v>10</v>
      </c>
      <c r="J79" s="5" t="s">
        <v>727</v>
      </c>
    </row>
    <row r="80" spans="1:10" ht="18" customHeight="1" x14ac:dyDescent="0.45">
      <c r="A80" s="11" t="s">
        <v>728</v>
      </c>
    </row>
    <row r="81" spans="1:10" ht="120" customHeight="1" x14ac:dyDescent="0.45">
      <c r="A81" s="3" t="s">
        <v>729</v>
      </c>
      <c r="B81" s="5" t="s">
        <v>730</v>
      </c>
      <c r="C81" s="12" t="s">
        <v>731</v>
      </c>
      <c r="D81" s="12" t="s">
        <v>732</v>
      </c>
      <c r="E81" s="12" t="s">
        <v>733</v>
      </c>
      <c r="F81" s="12" t="s">
        <v>734</v>
      </c>
      <c r="G81" s="12" t="s">
        <v>735</v>
      </c>
      <c r="H81" s="6" t="s">
        <v>10</v>
      </c>
      <c r="I81" s="6" t="s">
        <v>10</v>
      </c>
      <c r="J81" s="5" t="s">
        <v>736</v>
      </c>
    </row>
    <row r="82" spans="1:10" ht="120" customHeight="1" x14ac:dyDescent="0.45">
      <c r="A82" s="3" t="s">
        <v>737</v>
      </c>
      <c r="B82" s="5" t="s">
        <v>738</v>
      </c>
      <c r="C82" s="12" t="s">
        <v>739</v>
      </c>
      <c r="D82" s="12" t="s">
        <v>740</v>
      </c>
      <c r="E82" s="12" t="s">
        <v>741</v>
      </c>
      <c r="F82" s="12" t="s">
        <v>742</v>
      </c>
      <c r="G82" s="12" t="s">
        <v>743</v>
      </c>
      <c r="H82" s="6" t="s">
        <v>10</v>
      </c>
      <c r="I82" s="6" t="s">
        <v>10</v>
      </c>
      <c r="J82" s="5" t="s">
        <v>744</v>
      </c>
    </row>
    <row r="83" spans="1:10" ht="18" customHeight="1" x14ac:dyDescent="0.45">
      <c r="A83" s="11" t="s">
        <v>745</v>
      </c>
    </row>
    <row r="84" spans="1:10" ht="120" customHeight="1" x14ac:dyDescent="0.45">
      <c r="A84" s="3" t="s">
        <v>746</v>
      </c>
      <c r="B84" s="5" t="s">
        <v>747</v>
      </c>
      <c r="C84" s="12" t="s">
        <v>748</v>
      </c>
      <c r="D84" s="12" t="s">
        <v>749</v>
      </c>
      <c r="E84" s="12" t="s">
        <v>750</v>
      </c>
      <c r="F84" s="12" t="s">
        <v>751</v>
      </c>
      <c r="G84" s="6" t="s">
        <v>752</v>
      </c>
      <c r="H84" s="6" t="s">
        <v>10</v>
      </c>
      <c r="I84" s="6" t="s">
        <v>10</v>
      </c>
      <c r="J84" s="5" t="s">
        <v>753</v>
      </c>
    </row>
    <row r="85" spans="1:10" ht="18" customHeight="1" x14ac:dyDescent="0.45">
      <c r="A85" s="11" t="s">
        <v>414</v>
      </c>
    </row>
    <row r="86" spans="1:10" ht="120" customHeight="1" x14ac:dyDescent="0.45">
      <c r="A86" s="3" t="s">
        <v>415</v>
      </c>
      <c r="B86" s="5" t="s">
        <v>754</v>
      </c>
      <c r="C86" s="12" t="s">
        <v>506</v>
      </c>
      <c r="D86" s="12" t="s">
        <v>755</v>
      </c>
      <c r="E86" s="12" t="s">
        <v>756</v>
      </c>
      <c r="F86" s="12" t="s">
        <v>757</v>
      </c>
      <c r="G86" s="12" t="s">
        <v>758</v>
      </c>
      <c r="H86" s="12" t="s">
        <v>759</v>
      </c>
      <c r="I86" s="6" t="s">
        <v>760</v>
      </c>
      <c r="J86" s="5" t="s">
        <v>761</v>
      </c>
    </row>
    <row r="88" spans="1:10" ht="30" customHeight="1" x14ac:dyDescent="0.5">
      <c r="A88" s="10" t="s">
        <v>13</v>
      </c>
      <c r="B88" s="16" t="s">
        <v>762</v>
      </c>
      <c r="C88" s="14"/>
      <c r="D88" s="14"/>
      <c r="E88" s="14"/>
      <c r="F88" s="14"/>
      <c r="G88" s="14"/>
      <c r="H88" s="14"/>
      <c r="I88" s="14"/>
      <c r="J88" s="14"/>
    </row>
    <row r="89" spans="1:10" ht="18" customHeight="1" x14ac:dyDescent="0.45">
      <c r="A89" s="11" t="s">
        <v>763</v>
      </c>
    </row>
    <row r="90" spans="1:10" ht="120" customHeight="1" x14ac:dyDescent="0.45">
      <c r="A90" s="3" t="s">
        <v>764</v>
      </c>
      <c r="B90" s="5" t="s">
        <v>765</v>
      </c>
      <c r="C90" s="12" t="s">
        <v>766</v>
      </c>
      <c r="D90" s="12" t="s">
        <v>767</v>
      </c>
      <c r="E90" s="12" t="s">
        <v>768</v>
      </c>
      <c r="F90" s="12" t="s">
        <v>769</v>
      </c>
      <c r="G90" s="12" t="s">
        <v>770</v>
      </c>
      <c r="H90" s="6" t="s">
        <v>771</v>
      </c>
      <c r="I90" s="6" t="s">
        <v>772</v>
      </c>
      <c r="J90" s="5" t="s">
        <v>773</v>
      </c>
    </row>
    <row r="91" spans="1:10" ht="120" customHeight="1" x14ac:dyDescent="0.45">
      <c r="A91" s="3" t="s">
        <v>774</v>
      </c>
      <c r="B91" s="5" t="s">
        <v>775</v>
      </c>
      <c r="C91" s="12" t="s">
        <v>766</v>
      </c>
      <c r="D91" s="12" t="s">
        <v>776</v>
      </c>
      <c r="E91" s="6" t="s">
        <v>777</v>
      </c>
      <c r="F91" s="12" t="s">
        <v>778</v>
      </c>
      <c r="G91" s="12" t="s">
        <v>779</v>
      </c>
      <c r="H91" s="6" t="s">
        <v>10</v>
      </c>
      <c r="I91" s="6" t="s">
        <v>10</v>
      </c>
      <c r="J91" s="5" t="s">
        <v>780</v>
      </c>
    </row>
    <row r="92" spans="1:10" ht="18" customHeight="1" x14ac:dyDescent="0.45">
      <c r="A92" s="11" t="s">
        <v>781</v>
      </c>
    </row>
    <row r="93" spans="1:10" ht="120" customHeight="1" x14ac:dyDescent="0.45">
      <c r="A93" s="3" t="s">
        <v>782</v>
      </c>
      <c r="B93" s="5" t="s">
        <v>783</v>
      </c>
      <c r="C93" s="12" t="s">
        <v>784</v>
      </c>
      <c r="D93" s="12" t="s">
        <v>785</v>
      </c>
      <c r="E93" s="12" t="s">
        <v>786</v>
      </c>
      <c r="F93" s="12" t="s">
        <v>787</v>
      </c>
      <c r="G93" s="12" t="s">
        <v>788</v>
      </c>
      <c r="H93" s="12" t="s">
        <v>789</v>
      </c>
      <c r="I93" s="6" t="s">
        <v>790</v>
      </c>
      <c r="J93" s="5" t="s">
        <v>791</v>
      </c>
    </row>
    <row r="94" spans="1:10" ht="120" customHeight="1" x14ac:dyDescent="0.45">
      <c r="A94" s="3" t="s">
        <v>792</v>
      </c>
      <c r="B94" s="5" t="s">
        <v>793</v>
      </c>
      <c r="C94" s="12" t="s">
        <v>794</v>
      </c>
      <c r="D94" s="12" t="s">
        <v>795</v>
      </c>
      <c r="E94" s="12" t="s">
        <v>796</v>
      </c>
      <c r="F94" s="12" t="s">
        <v>797</v>
      </c>
      <c r="G94" s="12" t="s">
        <v>798</v>
      </c>
      <c r="H94" s="12" t="s">
        <v>799</v>
      </c>
      <c r="I94" s="12" t="s">
        <v>800</v>
      </c>
      <c r="J94" s="5" t="s">
        <v>801</v>
      </c>
    </row>
    <row r="95" spans="1:10" ht="120" customHeight="1" x14ac:dyDescent="0.45">
      <c r="A95" s="3" t="s">
        <v>802</v>
      </c>
      <c r="B95" s="5" t="s">
        <v>803</v>
      </c>
      <c r="C95" s="12" t="s">
        <v>804</v>
      </c>
      <c r="D95" s="12" t="s">
        <v>805</v>
      </c>
      <c r="E95" s="12" t="s">
        <v>806</v>
      </c>
      <c r="F95" s="12" t="s">
        <v>807</v>
      </c>
      <c r="G95" s="12" t="s">
        <v>808</v>
      </c>
      <c r="H95" s="6" t="s">
        <v>10</v>
      </c>
      <c r="I95" s="6" t="s">
        <v>10</v>
      </c>
      <c r="J95" s="5" t="s">
        <v>809</v>
      </c>
    </row>
    <row r="96" spans="1:10" ht="18" customHeight="1" x14ac:dyDescent="0.45">
      <c r="A96" s="11" t="s">
        <v>414</v>
      </c>
    </row>
    <row r="97" spans="1:10" ht="120" customHeight="1" x14ac:dyDescent="0.45">
      <c r="A97" s="3" t="s">
        <v>415</v>
      </c>
      <c r="B97" s="5" t="s">
        <v>810</v>
      </c>
      <c r="C97" s="12" t="s">
        <v>506</v>
      </c>
      <c r="D97" s="12" t="s">
        <v>811</v>
      </c>
      <c r="E97" s="12" t="s">
        <v>812</v>
      </c>
      <c r="F97" s="12" t="s">
        <v>813</v>
      </c>
      <c r="G97" s="12" t="s">
        <v>814</v>
      </c>
      <c r="H97" s="12" t="s">
        <v>815</v>
      </c>
      <c r="I97" s="12" t="s">
        <v>816</v>
      </c>
      <c r="J97" s="5" t="s">
        <v>817</v>
      </c>
    </row>
    <row r="99" spans="1:10" ht="30" customHeight="1" x14ac:dyDescent="0.5">
      <c r="A99" s="10" t="s">
        <v>21</v>
      </c>
      <c r="B99" s="16" t="s">
        <v>818</v>
      </c>
      <c r="C99" s="14"/>
      <c r="D99" s="14"/>
      <c r="E99" s="14"/>
      <c r="F99" s="14"/>
      <c r="G99" s="14"/>
      <c r="H99" s="14"/>
      <c r="I99" s="14"/>
      <c r="J99" s="14"/>
    </row>
    <row r="100" spans="1:10" ht="18" customHeight="1" x14ac:dyDescent="0.45">
      <c r="A100" s="11" t="s">
        <v>819</v>
      </c>
    </row>
    <row r="101" spans="1:10" ht="120" customHeight="1" x14ac:dyDescent="0.45">
      <c r="A101" s="3" t="s">
        <v>820</v>
      </c>
      <c r="B101" s="5" t="s">
        <v>821</v>
      </c>
      <c r="C101" s="12" t="s">
        <v>822</v>
      </c>
      <c r="D101" s="12" t="s">
        <v>823</v>
      </c>
      <c r="E101" s="12" t="s">
        <v>824</v>
      </c>
      <c r="F101" s="12" t="s">
        <v>825</v>
      </c>
      <c r="G101" s="12" t="s">
        <v>826</v>
      </c>
      <c r="H101" s="6" t="s">
        <v>827</v>
      </c>
      <c r="I101" s="6" t="s">
        <v>10</v>
      </c>
      <c r="J101" s="5" t="s">
        <v>828</v>
      </c>
    </row>
    <row r="102" spans="1:10" ht="120" customHeight="1" x14ac:dyDescent="0.45">
      <c r="A102" s="3" t="s">
        <v>829</v>
      </c>
      <c r="B102" s="5" t="s">
        <v>830</v>
      </c>
      <c r="C102" s="12" t="s">
        <v>831</v>
      </c>
      <c r="D102" s="12" t="s">
        <v>832</v>
      </c>
      <c r="E102" s="6" t="s">
        <v>833</v>
      </c>
      <c r="F102" s="12" t="s">
        <v>834</v>
      </c>
      <c r="G102" s="12" t="s">
        <v>835</v>
      </c>
      <c r="H102" s="6" t="s">
        <v>10</v>
      </c>
      <c r="I102" s="6" t="s">
        <v>10</v>
      </c>
      <c r="J102" s="5" t="s">
        <v>836</v>
      </c>
    </row>
    <row r="103" spans="1:10" ht="120" customHeight="1" x14ac:dyDescent="0.45">
      <c r="A103" s="3" t="s">
        <v>837</v>
      </c>
      <c r="B103" s="5" t="s">
        <v>838</v>
      </c>
      <c r="C103" s="12" t="s">
        <v>822</v>
      </c>
      <c r="D103" s="12" t="s">
        <v>839</v>
      </c>
      <c r="E103" s="6" t="s">
        <v>840</v>
      </c>
      <c r="F103" s="12" t="s">
        <v>841</v>
      </c>
      <c r="G103" s="12" t="s">
        <v>842</v>
      </c>
      <c r="H103" s="6" t="s">
        <v>10</v>
      </c>
      <c r="I103" s="6" t="s">
        <v>10</v>
      </c>
      <c r="J103" s="5" t="s">
        <v>843</v>
      </c>
    </row>
    <row r="104" spans="1:10" ht="120" customHeight="1" x14ac:dyDescent="0.45">
      <c r="A104" s="3" t="s">
        <v>844</v>
      </c>
      <c r="B104" s="5" t="s">
        <v>845</v>
      </c>
      <c r="C104" s="12" t="s">
        <v>846</v>
      </c>
      <c r="D104" s="12" t="s">
        <v>847</v>
      </c>
      <c r="E104" s="12" t="s">
        <v>848</v>
      </c>
      <c r="F104" s="12" t="s">
        <v>849</v>
      </c>
      <c r="G104" s="12" t="s">
        <v>850</v>
      </c>
      <c r="H104" s="6" t="s">
        <v>10</v>
      </c>
      <c r="I104" s="6" t="s">
        <v>10</v>
      </c>
      <c r="J104" s="5" t="s">
        <v>851</v>
      </c>
    </row>
    <row r="105" spans="1:10" ht="18" customHeight="1" x14ac:dyDescent="0.45">
      <c r="A105" s="11" t="s">
        <v>414</v>
      </c>
    </row>
    <row r="106" spans="1:10" ht="120" customHeight="1" x14ac:dyDescent="0.45">
      <c r="A106" s="3" t="s">
        <v>415</v>
      </c>
      <c r="B106" s="5" t="s">
        <v>852</v>
      </c>
      <c r="C106" s="12" t="s">
        <v>506</v>
      </c>
      <c r="D106" s="12" t="s">
        <v>631</v>
      </c>
      <c r="E106" s="12" t="s">
        <v>853</v>
      </c>
      <c r="F106" s="12" t="s">
        <v>854</v>
      </c>
      <c r="G106" s="12" t="s">
        <v>855</v>
      </c>
      <c r="H106" s="12" t="s">
        <v>856</v>
      </c>
      <c r="I106" s="12" t="s">
        <v>857</v>
      </c>
      <c r="J106" s="5" t="s">
        <v>858</v>
      </c>
    </row>
    <row r="108" spans="1:10" ht="30" customHeight="1" x14ac:dyDescent="0.5">
      <c r="A108" s="10" t="s">
        <v>15</v>
      </c>
      <c r="B108" s="16" t="s">
        <v>859</v>
      </c>
      <c r="C108" s="14"/>
      <c r="D108" s="14"/>
      <c r="E108" s="14"/>
      <c r="F108" s="14"/>
      <c r="G108" s="14"/>
      <c r="H108" s="14"/>
      <c r="I108" s="14"/>
      <c r="J108" s="14"/>
    </row>
    <row r="109" spans="1:10" ht="18" customHeight="1" x14ac:dyDescent="0.45">
      <c r="A109" s="11" t="s">
        <v>860</v>
      </c>
    </row>
    <row r="110" spans="1:10" ht="120" customHeight="1" x14ac:dyDescent="0.45">
      <c r="A110" s="3" t="s">
        <v>861</v>
      </c>
      <c r="B110" s="5" t="s">
        <v>862</v>
      </c>
      <c r="C110" s="12" t="s">
        <v>863</v>
      </c>
      <c r="D110" s="12" t="s">
        <v>864</v>
      </c>
      <c r="E110" s="12" t="s">
        <v>865</v>
      </c>
      <c r="F110" s="12" t="s">
        <v>866</v>
      </c>
      <c r="G110" s="12" t="s">
        <v>867</v>
      </c>
      <c r="H110" s="6" t="s">
        <v>868</v>
      </c>
      <c r="I110" s="6" t="s">
        <v>10</v>
      </c>
      <c r="J110" s="5" t="s">
        <v>869</v>
      </c>
    </row>
    <row r="111" spans="1:10" ht="120" customHeight="1" x14ac:dyDescent="0.45">
      <c r="A111" s="3" t="s">
        <v>870</v>
      </c>
      <c r="B111" s="5" t="s">
        <v>871</v>
      </c>
      <c r="C111" s="12" t="s">
        <v>872</v>
      </c>
      <c r="D111" s="12" t="s">
        <v>873</v>
      </c>
      <c r="E111" s="12" t="s">
        <v>874</v>
      </c>
      <c r="F111" s="12" t="s">
        <v>875</v>
      </c>
      <c r="G111" s="12" t="s">
        <v>876</v>
      </c>
      <c r="H111" s="6" t="s">
        <v>10</v>
      </c>
      <c r="I111" s="6" t="s">
        <v>10</v>
      </c>
      <c r="J111" s="5" t="s">
        <v>877</v>
      </c>
    </row>
    <row r="112" spans="1:10" ht="18" customHeight="1" x14ac:dyDescent="0.45">
      <c r="A112" s="11" t="s">
        <v>878</v>
      </c>
    </row>
    <row r="113" spans="1:10" ht="120" customHeight="1" x14ac:dyDescent="0.45">
      <c r="A113" s="3" t="s">
        <v>879</v>
      </c>
      <c r="B113" s="5" t="s">
        <v>880</v>
      </c>
      <c r="C113" s="12" t="s">
        <v>881</v>
      </c>
      <c r="D113" s="12" t="s">
        <v>882</v>
      </c>
      <c r="E113" s="12" t="s">
        <v>883</v>
      </c>
      <c r="F113" s="12" t="s">
        <v>884</v>
      </c>
      <c r="G113" s="12" t="s">
        <v>885</v>
      </c>
      <c r="H113" s="12" t="s">
        <v>886</v>
      </c>
      <c r="I113" s="12" t="s">
        <v>887</v>
      </c>
      <c r="J113" s="5" t="s">
        <v>888</v>
      </c>
    </row>
    <row r="114" spans="1:10" ht="120" customHeight="1" x14ac:dyDescent="0.45">
      <c r="A114" s="3" t="s">
        <v>889</v>
      </c>
      <c r="B114" s="5" t="s">
        <v>890</v>
      </c>
      <c r="C114" s="12" t="s">
        <v>891</v>
      </c>
      <c r="D114" s="12" t="s">
        <v>892</v>
      </c>
      <c r="E114" s="12" t="s">
        <v>893</v>
      </c>
      <c r="F114" s="12" t="s">
        <v>894</v>
      </c>
      <c r="G114" s="12" t="s">
        <v>895</v>
      </c>
      <c r="H114" s="12" t="s">
        <v>896</v>
      </c>
      <c r="I114" s="6" t="s">
        <v>10</v>
      </c>
      <c r="J114" s="5" t="s">
        <v>897</v>
      </c>
    </row>
    <row r="115" spans="1:10" ht="18" customHeight="1" x14ac:dyDescent="0.45">
      <c r="A115" s="11" t="s">
        <v>414</v>
      </c>
    </row>
    <row r="116" spans="1:10" ht="120" customHeight="1" x14ac:dyDescent="0.45">
      <c r="A116" s="3" t="s">
        <v>415</v>
      </c>
      <c r="B116" s="5" t="s">
        <v>898</v>
      </c>
      <c r="C116" s="12" t="s">
        <v>506</v>
      </c>
      <c r="D116" s="12" t="s">
        <v>899</v>
      </c>
      <c r="E116" s="12" t="s">
        <v>900</v>
      </c>
      <c r="F116" s="12" t="s">
        <v>901</v>
      </c>
      <c r="G116" s="12" t="s">
        <v>902</v>
      </c>
      <c r="H116" s="12" t="s">
        <v>903</v>
      </c>
      <c r="I116" s="12" t="s">
        <v>904</v>
      </c>
      <c r="J116" s="5" t="s">
        <v>905</v>
      </c>
    </row>
    <row r="118" spans="1:10" ht="30" customHeight="1" x14ac:dyDescent="0.5">
      <c r="A118" s="10" t="s">
        <v>17</v>
      </c>
      <c r="B118" s="16" t="s">
        <v>906</v>
      </c>
      <c r="C118" s="14"/>
      <c r="D118" s="14"/>
      <c r="E118" s="14"/>
      <c r="F118" s="14"/>
      <c r="G118" s="14"/>
      <c r="H118" s="14"/>
      <c r="I118" s="14"/>
      <c r="J118" s="14"/>
    </row>
    <row r="119" spans="1:10" ht="18" customHeight="1" x14ac:dyDescent="0.45">
      <c r="A119" s="11" t="s">
        <v>907</v>
      </c>
    </row>
    <row r="120" spans="1:10" ht="120" customHeight="1" x14ac:dyDescent="0.45">
      <c r="A120" s="3" t="s">
        <v>908</v>
      </c>
      <c r="B120" s="5" t="s">
        <v>909</v>
      </c>
      <c r="C120" s="12" t="s">
        <v>910</v>
      </c>
      <c r="D120" s="12" t="s">
        <v>911</v>
      </c>
      <c r="E120" s="12" t="s">
        <v>912</v>
      </c>
      <c r="F120" s="12" t="s">
        <v>913</v>
      </c>
      <c r="G120" s="12" t="s">
        <v>914</v>
      </c>
      <c r="H120" s="12" t="s">
        <v>915</v>
      </c>
      <c r="I120" s="6" t="s">
        <v>10</v>
      </c>
      <c r="J120" s="5" t="s">
        <v>916</v>
      </c>
    </row>
    <row r="121" spans="1:10" ht="120" customHeight="1" x14ac:dyDescent="0.45">
      <c r="A121" s="3" t="s">
        <v>917</v>
      </c>
      <c r="B121" s="5" t="s">
        <v>918</v>
      </c>
      <c r="C121" s="12" t="s">
        <v>919</v>
      </c>
      <c r="D121" s="12" t="s">
        <v>920</v>
      </c>
      <c r="E121" s="12" t="s">
        <v>921</v>
      </c>
      <c r="F121" s="12" t="s">
        <v>922</v>
      </c>
      <c r="G121" s="12" t="s">
        <v>923</v>
      </c>
      <c r="H121" s="12" t="s">
        <v>924</v>
      </c>
      <c r="I121" s="12" t="s">
        <v>925</v>
      </c>
      <c r="J121" s="5" t="s">
        <v>926</v>
      </c>
    </row>
    <row r="122" spans="1:10" ht="18" customHeight="1" x14ac:dyDescent="0.45">
      <c r="A122" s="11" t="s">
        <v>927</v>
      </c>
    </row>
    <row r="123" spans="1:10" ht="120" customHeight="1" x14ac:dyDescent="0.45">
      <c r="A123" s="3" t="s">
        <v>928</v>
      </c>
      <c r="B123" s="5" t="s">
        <v>929</v>
      </c>
      <c r="C123" s="12" t="s">
        <v>930</v>
      </c>
      <c r="D123" s="12" t="s">
        <v>931</v>
      </c>
      <c r="E123" s="12" t="s">
        <v>932</v>
      </c>
      <c r="F123" s="12" t="s">
        <v>933</v>
      </c>
      <c r="G123" s="12" t="s">
        <v>934</v>
      </c>
      <c r="H123" s="6" t="s">
        <v>10</v>
      </c>
      <c r="I123" s="6" t="s">
        <v>10</v>
      </c>
      <c r="J123" s="5" t="s">
        <v>935</v>
      </c>
    </row>
    <row r="124" spans="1:10" ht="18" customHeight="1" x14ac:dyDescent="0.45">
      <c r="A124" s="11" t="s">
        <v>414</v>
      </c>
    </row>
    <row r="125" spans="1:10" ht="120" customHeight="1" x14ac:dyDescent="0.45">
      <c r="A125" s="3" t="s">
        <v>415</v>
      </c>
      <c r="B125" s="5" t="s">
        <v>936</v>
      </c>
      <c r="C125" s="12" t="s">
        <v>506</v>
      </c>
      <c r="D125" s="12" t="s">
        <v>937</v>
      </c>
      <c r="E125" s="12" t="s">
        <v>900</v>
      </c>
      <c r="F125" s="12" t="s">
        <v>938</v>
      </c>
      <c r="G125" s="12" t="s">
        <v>939</v>
      </c>
      <c r="H125" s="12" t="s">
        <v>940</v>
      </c>
      <c r="I125" s="12" t="s">
        <v>925</v>
      </c>
      <c r="J125" s="5" t="s">
        <v>941</v>
      </c>
    </row>
    <row r="127" spans="1:10" ht="30" customHeight="1" x14ac:dyDescent="0.5">
      <c r="A127" s="10" t="s">
        <v>16</v>
      </c>
      <c r="B127" s="16" t="s">
        <v>942</v>
      </c>
      <c r="C127" s="14"/>
      <c r="D127" s="14"/>
      <c r="E127" s="14"/>
      <c r="F127" s="14"/>
      <c r="G127" s="14"/>
      <c r="H127" s="14"/>
      <c r="I127" s="14"/>
      <c r="J127" s="14"/>
    </row>
    <row r="128" spans="1:10" ht="18" customHeight="1" x14ac:dyDescent="0.45">
      <c r="A128" s="11" t="s">
        <v>943</v>
      </c>
    </row>
    <row r="129" spans="1:10" ht="120" customHeight="1" x14ac:dyDescent="0.45">
      <c r="A129" s="3" t="s">
        <v>944</v>
      </c>
      <c r="B129" s="5" t="s">
        <v>945</v>
      </c>
      <c r="C129" s="12" t="s">
        <v>946</v>
      </c>
      <c r="D129" s="12" t="s">
        <v>947</v>
      </c>
      <c r="E129" s="12" t="s">
        <v>948</v>
      </c>
      <c r="F129" s="12" t="s">
        <v>949</v>
      </c>
      <c r="G129" s="12" t="s">
        <v>950</v>
      </c>
      <c r="H129" s="6" t="s">
        <v>10</v>
      </c>
      <c r="I129" s="6" t="s">
        <v>951</v>
      </c>
      <c r="J129" s="5" t="s">
        <v>952</v>
      </c>
    </row>
    <row r="130" spans="1:10" ht="120" customHeight="1" x14ac:dyDescent="0.45">
      <c r="A130" s="3" t="s">
        <v>953</v>
      </c>
      <c r="B130" s="5" t="s">
        <v>954</v>
      </c>
      <c r="C130" s="12" t="s">
        <v>955</v>
      </c>
      <c r="D130" s="12" t="s">
        <v>956</v>
      </c>
      <c r="E130" s="6" t="s">
        <v>957</v>
      </c>
      <c r="F130" s="12" t="s">
        <v>958</v>
      </c>
      <c r="G130" s="12" t="s">
        <v>959</v>
      </c>
      <c r="H130" s="6" t="s">
        <v>10</v>
      </c>
      <c r="I130" s="6" t="s">
        <v>10</v>
      </c>
      <c r="J130" s="5" t="s">
        <v>960</v>
      </c>
    </row>
    <row r="131" spans="1:10" ht="18" customHeight="1" x14ac:dyDescent="0.45">
      <c r="A131" s="11" t="s">
        <v>961</v>
      </c>
    </row>
    <row r="132" spans="1:10" ht="120" customHeight="1" x14ac:dyDescent="0.45">
      <c r="A132" s="3" t="s">
        <v>962</v>
      </c>
      <c r="B132" s="5" t="s">
        <v>963</v>
      </c>
      <c r="C132" s="12" t="s">
        <v>964</v>
      </c>
      <c r="D132" s="12" t="s">
        <v>965</v>
      </c>
      <c r="E132" s="6" t="s">
        <v>966</v>
      </c>
      <c r="F132" s="12" t="s">
        <v>967</v>
      </c>
      <c r="G132" s="12" t="s">
        <v>968</v>
      </c>
      <c r="H132" s="6" t="s">
        <v>10</v>
      </c>
      <c r="I132" s="6" t="s">
        <v>10</v>
      </c>
      <c r="J132" s="5" t="s">
        <v>969</v>
      </c>
    </row>
    <row r="133" spans="1:10" ht="18" customHeight="1" x14ac:dyDescent="0.45">
      <c r="A133" s="11" t="s">
        <v>414</v>
      </c>
    </row>
    <row r="134" spans="1:10" ht="120" customHeight="1" x14ac:dyDescent="0.45">
      <c r="A134" s="3" t="s">
        <v>415</v>
      </c>
      <c r="B134" s="5" t="s">
        <v>970</v>
      </c>
      <c r="C134" s="12" t="s">
        <v>506</v>
      </c>
      <c r="D134" s="12" t="s">
        <v>971</v>
      </c>
      <c r="E134" s="12" t="s">
        <v>900</v>
      </c>
      <c r="F134" s="12" t="s">
        <v>972</v>
      </c>
      <c r="G134" s="12" t="s">
        <v>973</v>
      </c>
      <c r="H134" s="6" t="s">
        <v>10</v>
      </c>
      <c r="I134" s="6" t="s">
        <v>974</v>
      </c>
      <c r="J134" s="5" t="s">
        <v>975</v>
      </c>
    </row>
    <row r="136" spans="1:10" ht="30" customHeight="1" x14ac:dyDescent="0.5">
      <c r="A136" s="10" t="s">
        <v>19</v>
      </c>
      <c r="B136" s="16" t="s">
        <v>976</v>
      </c>
      <c r="C136" s="14"/>
      <c r="D136" s="14"/>
      <c r="E136" s="14"/>
      <c r="F136" s="14"/>
      <c r="G136" s="14"/>
      <c r="H136" s="14"/>
      <c r="I136" s="14"/>
      <c r="J136" s="14"/>
    </row>
    <row r="137" spans="1:10" ht="18" customHeight="1" x14ac:dyDescent="0.45">
      <c r="A137" s="11" t="s">
        <v>977</v>
      </c>
    </row>
    <row r="138" spans="1:10" ht="120" customHeight="1" x14ac:dyDescent="0.45">
      <c r="A138" s="3" t="s">
        <v>978</v>
      </c>
      <c r="B138" s="5" t="s">
        <v>979</v>
      </c>
      <c r="C138" s="12" t="s">
        <v>980</v>
      </c>
      <c r="D138" s="12" t="s">
        <v>981</v>
      </c>
      <c r="E138" s="12" t="s">
        <v>982</v>
      </c>
      <c r="F138" s="12" t="s">
        <v>983</v>
      </c>
      <c r="G138" s="12" t="s">
        <v>984</v>
      </c>
      <c r="H138" s="12" t="s">
        <v>985</v>
      </c>
      <c r="I138" s="6" t="s">
        <v>10</v>
      </c>
      <c r="J138" s="5" t="s">
        <v>986</v>
      </c>
    </row>
    <row r="139" spans="1:10" ht="18" customHeight="1" x14ac:dyDescent="0.45">
      <c r="A139" s="11" t="s">
        <v>987</v>
      </c>
    </row>
    <row r="140" spans="1:10" ht="120" customHeight="1" x14ac:dyDescent="0.45">
      <c r="A140" s="3" t="s">
        <v>988</v>
      </c>
      <c r="B140" s="5" t="s">
        <v>989</v>
      </c>
      <c r="C140" s="12" t="s">
        <v>990</v>
      </c>
      <c r="D140" s="12" t="s">
        <v>991</v>
      </c>
      <c r="E140" s="12" t="s">
        <v>992</v>
      </c>
      <c r="F140" s="12" t="s">
        <v>993</v>
      </c>
      <c r="G140" s="12" t="s">
        <v>994</v>
      </c>
      <c r="H140" s="6" t="s">
        <v>10</v>
      </c>
      <c r="I140" s="6" t="s">
        <v>995</v>
      </c>
      <c r="J140" s="5" t="s">
        <v>996</v>
      </c>
    </row>
    <row r="141" spans="1:10" ht="18" customHeight="1" x14ac:dyDescent="0.45">
      <c r="A141" s="11" t="s">
        <v>997</v>
      </c>
    </row>
    <row r="142" spans="1:10" ht="120" customHeight="1" x14ac:dyDescent="0.45">
      <c r="A142" s="3" t="s">
        <v>998</v>
      </c>
      <c r="B142" s="5" t="s">
        <v>999</v>
      </c>
      <c r="C142" s="12" t="s">
        <v>1000</v>
      </c>
      <c r="D142" s="12" t="s">
        <v>1001</v>
      </c>
      <c r="E142" s="12" t="s">
        <v>1002</v>
      </c>
      <c r="F142" s="12" t="s">
        <v>1003</v>
      </c>
      <c r="G142" s="12" t="s">
        <v>1004</v>
      </c>
      <c r="H142" s="12" t="s">
        <v>1005</v>
      </c>
      <c r="I142" s="6" t="s">
        <v>10</v>
      </c>
      <c r="J142" s="5" t="s">
        <v>1006</v>
      </c>
    </row>
    <row r="143" spans="1:10" ht="18" customHeight="1" x14ac:dyDescent="0.45">
      <c r="A143" s="11" t="s">
        <v>1007</v>
      </c>
    </row>
    <row r="144" spans="1:10" ht="120" customHeight="1" x14ac:dyDescent="0.45">
      <c r="A144" s="3" t="s">
        <v>1008</v>
      </c>
      <c r="B144" s="5" t="s">
        <v>1009</v>
      </c>
      <c r="C144" s="12" t="s">
        <v>1010</v>
      </c>
      <c r="D144" s="12" t="s">
        <v>1011</v>
      </c>
      <c r="E144" s="6" t="s">
        <v>1012</v>
      </c>
      <c r="F144" s="12" t="s">
        <v>1013</v>
      </c>
      <c r="G144" s="12" t="s">
        <v>1014</v>
      </c>
      <c r="H144" s="6" t="s">
        <v>10</v>
      </c>
      <c r="I144" s="6" t="s">
        <v>10</v>
      </c>
      <c r="J144" s="5" t="s">
        <v>1015</v>
      </c>
    </row>
    <row r="145" spans="1:10" ht="18" customHeight="1" x14ac:dyDescent="0.45">
      <c r="A145" s="11" t="s">
        <v>414</v>
      </c>
    </row>
    <row r="146" spans="1:10" ht="120" customHeight="1" x14ac:dyDescent="0.45">
      <c r="A146" s="3" t="s">
        <v>415</v>
      </c>
      <c r="B146" s="5" t="s">
        <v>1016</v>
      </c>
      <c r="C146" s="12" t="s">
        <v>506</v>
      </c>
      <c r="D146" s="12" t="s">
        <v>971</v>
      </c>
      <c r="E146" s="12" t="s">
        <v>900</v>
      </c>
      <c r="F146" s="12" t="s">
        <v>1017</v>
      </c>
      <c r="G146" s="12" t="s">
        <v>1018</v>
      </c>
      <c r="H146" s="6" t="s">
        <v>10</v>
      </c>
      <c r="I146" s="6" t="s">
        <v>1019</v>
      </c>
      <c r="J146" s="5" t="s">
        <v>1020</v>
      </c>
    </row>
    <row r="148" spans="1:10" ht="30" customHeight="1" x14ac:dyDescent="0.5">
      <c r="A148" s="10" t="s">
        <v>20</v>
      </c>
      <c r="B148" s="16" t="s">
        <v>1021</v>
      </c>
      <c r="C148" s="14"/>
      <c r="D148" s="14"/>
      <c r="E148" s="14"/>
      <c r="F148" s="14"/>
      <c r="G148" s="14"/>
      <c r="H148" s="14"/>
      <c r="I148" s="14"/>
      <c r="J148" s="14"/>
    </row>
    <row r="149" spans="1:10" ht="18" customHeight="1" x14ac:dyDescent="0.45">
      <c r="A149" s="11" t="s">
        <v>1022</v>
      </c>
    </row>
    <row r="150" spans="1:10" ht="120" customHeight="1" x14ac:dyDescent="0.45">
      <c r="A150" s="3" t="s">
        <v>1023</v>
      </c>
      <c r="B150" s="5" t="s">
        <v>1024</v>
      </c>
      <c r="C150" s="12" t="s">
        <v>1025</v>
      </c>
      <c r="D150" s="12" t="s">
        <v>1026</v>
      </c>
      <c r="E150" s="6" t="s">
        <v>1027</v>
      </c>
      <c r="F150" s="12" t="s">
        <v>1028</v>
      </c>
      <c r="G150" s="12" t="s">
        <v>1029</v>
      </c>
      <c r="H150" s="6" t="s">
        <v>10</v>
      </c>
      <c r="I150" s="6" t="s">
        <v>10</v>
      </c>
      <c r="J150" s="5" t="s">
        <v>1030</v>
      </c>
    </row>
    <row r="151" spans="1:10" ht="120" customHeight="1" x14ac:dyDescent="0.45">
      <c r="A151" s="3" t="s">
        <v>1031</v>
      </c>
      <c r="B151" s="5" t="s">
        <v>1032</v>
      </c>
      <c r="C151" s="12" t="s">
        <v>1033</v>
      </c>
      <c r="D151" s="12" t="s">
        <v>1034</v>
      </c>
      <c r="E151" s="12" t="s">
        <v>1035</v>
      </c>
      <c r="F151" s="12" t="s">
        <v>1036</v>
      </c>
      <c r="G151" s="12" t="s">
        <v>1037</v>
      </c>
      <c r="H151" s="6" t="s">
        <v>10</v>
      </c>
      <c r="I151" s="12" t="s">
        <v>1038</v>
      </c>
      <c r="J151" s="5" t="s">
        <v>1039</v>
      </c>
    </row>
    <row r="152" spans="1:10" ht="120" customHeight="1" x14ac:dyDescent="0.45">
      <c r="A152" s="3" t="s">
        <v>1040</v>
      </c>
      <c r="B152" s="5" t="s">
        <v>1041</v>
      </c>
      <c r="C152" s="12" t="s">
        <v>1042</v>
      </c>
      <c r="D152" s="12" t="s">
        <v>1043</v>
      </c>
      <c r="E152" s="6" t="s">
        <v>1044</v>
      </c>
      <c r="F152" s="12" t="s">
        <v>1045</v>
      </c>
      <c r="G152" s="12" t="s">
        <v>1046</v>
      </c>
      <c r="H152" s="6" t="s">
        <v>10</v>
      </c>
      <c r="I152" s="6" t="s">
        <v>10</v>
      </c>
      <c r="J152" s="5" t="s">
        <v>1047</v>
      </c>
    </row>
    <row r="153" spans="1:10" ht="18" customHeight="1" x14ac:dyDescent="0.45">
      <c r="A153" s="11" t="s">
        <v>1048</v>
      </c>
    </row>
    <row r="154" spans="1:10" ht="120" customHeight="1" x14ac:dyDescent="0.45">
      <c r="A154" s="3" t="s">
        <v>1049</v>
      </c>
      <c r="B154" s="5" t="s">
        <v>1050</v>
      </c>
      <c r="C154" s="12" t="s">
        <v>1051</v>
      </c>
      <c r="D154" s="12" t="s">
        <v>1052</v>
      </c>
      <c r="E154" s="12" t="s">
        <v>1053</v>
      </c>
      <c r="F154" s="12" t="s">
        <v>1054</v>
      </c>
      <c r="G154" s="6" t="s">
        <v>1055</v>
      </c>
      <c r="H154" s="12" t="s">
        <v>1056</v>
      </c>
      <c r="I154" s="6" t="s">
        <v>10</v>
      </c>
      <c r="J154" s="5" t="s">
        <v>1057</v>
      </c>
    </row>
    <row r="155" spans="1:10" ht="18" customHeight="1" x14ac:dyDescent="0.45">
      <c r="A155" s="11" t="s">
        <v>414</v>
      </c>
    </row>
    <row r="156" spans="1:10" ht="120" customHeight="1" x14ac:dyDescent="0.45">
      <c r="A156" s="3" t="s">
        <v>415</v>
      </c>
      <c r="B156" s="5" t="s">
        <v>1058</v>
      </c>
      <c r="C156" s="12" t="s">
        <v>506</v>
      </c>
      <c r="D156" s="12" t="s">
        <v>1059</v>
      </c>
      <c r="E156" s="12" t="s">
        <v>900</v>
      </c>
      <c r="F156" s="12" t="s">
        <v>1060</v>
      </c>
      <c r="G156" s="12" t="s">
        <v>1061</v>
      </c>
      <c r="H156" s="6" t="s">
        <v>10</v>
      </c>
      <c r="I156" s="6" t="s">
        <v>1062</v>
      </c>
      <c r="J156" s="5" t="s">
        <v>1063</v>
      </c>
    </row>
    <row r="158" spans="1:10" ht="30" customHeight="1" x14ac:dyDescent="0.5">
      <c r="A158" s="10" t="s">
        <v>22</v>
      </c>
      <c r="B158" s="16" t="s">
        <v>1064</v>
      </c>
      <c r="C158" s="14"/>
      <c r="D158" s="14"/>
      <c r="E158" s="14"/>
      <c r="F158" s="14"/>
      <c r="G158" s="14"/>
      <c r="H158" s="14"/>
      <c r="I158" s="14"/>
      <c r="J158" s="14"/>
    </row>
    <row r="159" spans="1:10" ht="18" customHeight="1" x14ac:dyDescent="0.45">
      <c r="A159" s="11" t="s">
        <v>1065</v>
      </c>
    </row>
    <row r="160" spans="1:10" ht="120" customHeight="1" x14ac:dyDescent="0.45">
      <c r="A160" s="3" t="s">
        <v>1066</v>
      </c>
      <c r="B160" s="5" t="s">
        <v>1067</v>
      </c>
      <c r="C160" s="12" t="s">
        <v>1068</v>
      </c>
      <c r="D160" s="12" t="s">
        <v>1069</v>
      </c>
      <c r="E160" s="12" t="s">
        <v>1070</v>
      </c>
      <c r="F160" s="12" t="s">
        <v>1071</v>
      </c>
      <c r="G160" s="12" t="s">
        <v>1072</v>
      </c>
      <c r="H160" s="12" t="s">
        <v>1073</v>
      </c>
      <c r="I160" s="6" t="s">
        <v>10</v>
      </c>
      <c r="J160" s="5" t="s">
        <v>1074</v>
      </c>
    </row>
    <row r="161" spans="1:10" ht="120" customHeight="1" x14ac:dyDescent="0.45">
      <c r="A161" s="3" t="s">
        <v>1075</v>
      </c>
      <c r="B161" s="5" t="s">
        <v>1076</v>
      </c>
      <c r="C161" s="12" t="s">
        <v>1077</v>
      </c>
      <c r="D161" s="12" t="s">
        <v>1078</v>
      </c>
      <c r="E161" s="12" t="s">
        <v>1079</v>
      </c>
      <c r="F161" s="12" t="s">
        <v>1080</v>
      </c>
      <c r="G161" s="12" t="s">
        <v>1081</v>
      </c>
      <c r="H161" s="6" t="s">
        <v>10</v>
      </c>
      <c r="I161" s="6" t="s">
        <v>10</v>
      </c>
      <c r="J161" s="5" t="s">
        <v>1082</v>
      </c>
    </row>
    <row r="162" spans="1:10" ht="18" customHeight="1" x14ac:dyDescent="0.45">
      <c r="A162" s="11" t="s">
        <v>1083</v>
      </c>
    </row>
    <row r="163" spans="1:10" ht="120" customHeight="1" x14ac:dyDescent="0.45">
      <c r="A163" s="3" t="s">
        <v>1084</v>
      </c>
      <c r="B163" s="5" t="s">
        <v>1085</v>
      </c>
      <c r="C163" s="12" t="s">
        <v>1086</v>
      </c>
      <c r="D163" s="12" t="s">
        <v>1087</v>
      </c>
      <c r="E163" s="12" t="s">
        <v>1088</v>
      </c>
      <c r="F163" s="12" t="s">
        <v>1089</v>
      </c>
      <c r="G163" s="12" t="s">
        <v>1090</v>
      </c>
      <c r="H163" s="12" t="s">
        <v>1091</v>
      </c>
      <c r="I163" s="6" t="s">
        <v>10</v>
      </c>
      <c r="J163" s="5" t="s">
        <v>1092</v>
      </c>
    </row>
    <row r="164" spans="1:10" ht="18" customHeight="1" x14ac:dyDescent="0.45">
      <c r="A164" s="11" t="s">
        <v>414</v>
      </c>
    </row>
    <row r="165" spans="1:10" ht="120" customHeight="1" x14ac:dyDescent="0.45">
      <c r="A165" s="3" t="s">
        <v>415</v>
      </c>
      <c r="B165" s="5" t="s">
        <v>1093</v>
      </c>
      <c r="C165" s="12" t="s">
        <v>506</v>
      </c>
      <c r="D165" s="12" t="s">
        <v>899</v>
      </c>
      <c r="E165" s="12" t="s">
        <v>900</v>
      </c>
      <c r="F165" s="12" t="s">
        <v>1094</v>
      </c>
      <c r="G165" s="12" t="s">
        <v>1095</v>
      </c>
      <c r="H165" s="6" t="s">
        <v>10</v>
      </c>
      <c r="I165" s="6" t="s">
        <v>10</v>
      </c>
      <c r="J165" s="5" t="s">
        <v>1096</v>
      </c>
    </row>
    <row r="167" spans="1:10" ht="30" customHeight="1" x14ac:dyDescent="0.5">
      <c r="A167" s="10" t="s">
        <v>23</v>
      </c>
      <c r="B167" s="16" t="s">
        <v>1097</v>
      </c>
      <c r="C167" s="14"/>
      <c r="D167" s="14"/>
      <c r="E167" s="14"/>
      <c r="F167" s="14"/>
      <c r="G167" s="14"/>
      <c r="H167" s="14"/>
      <c r="I167" s="14"/>
      <c r="J167" s="14"/>
    </row>
    <row r="168" spans="1:10" ht="18" customHeight="1" x14ac:dyDescent="0.45">
      <c r="A168" s="11" t="s">
        <v>1098</v>
      </c>
    </row>
    <row r="169" spans="1:10" ht="120" customHeight="1" x14ac:dyDescent="0.45">
      <c r="A169" s="3" t="s">
        <v>1099</v>
      </c>
      <c r="B169" s="5" t="s">
        <v>1100</v>
      </c>
      <c r="C169" s="12" t="s">
        <v>1101</v>
      </c>
      <c r="D169" s="12" t="s">
        <v>1102</v>
      </c>
      <c r="E169" s="12" t="s">
        <v>1103</v>
      </c>
      <c r="F169" s="12" t="s">
        <v>1104</v>
      </c>
      <c r="G169" s="12" t="s">
        <v>1105</v>
      </c>
      <c r="H169" s="12" t="s">
        <v>1106</v>
      </c>
      <c r="I169" s="6" t="s">
        <v>10</v>
      </c>
      <c r="J169" s="5" t="s">
        <v>1107</v>
      </c>
    </row>
    <row r="170" spans="1:10" ht="120" customHeight="1" x14ac:dyDescent="0.45">
      <c r="A170" s="3" t="s">
        <v>1108</v>
      </c>
      <c r="B170" s="5" t="s">
        <v>1109</v>
      </c>
      <c r="C170" s="12" t="s">
        <v>1101</v>
      </c>
      <c r="D170" s="12" t="s">
        <v>1110</v>
      </c>
      <c r="E170" s="12" t="s">
        <v>1111</v>
      </c>
      <c r="F170" s="12" t="s">
        <v>1112</v>
      </c>
      <c r="G170" s="12" t="s">
        <v>1113</v>
      </c>
      <c r="H170" s="12" t="s">
        <v>1114</v>
      </c>
      <c r="I170" s="6" t="s">
        <v>10</v>
      </c>
      <c r="J170" s="5" t="s">
        <v>1115</v>
      </c>
    </row>
    <row r="171" spans="1:10" ht="18" customHeight="1" x14ac:dyDescent="0.45">
      <c r="A171" s="11" t="s">
        <v>1116</v>
      </c>
    </row>
    <row r="172" spans="1:10" ht="120" customHeight="1" x14ac:dyDescent="0.45">
      <c r="A172" s="3" t="s">
        <v>1117</v>
      </c>
      <c r="B172" s="5" t="s">
        <v>1118</v>
      </c>
      <c r="C172" s="12" t="s">
        <v>1119</v>
      </c>
      <c r="D172" s="12" t="s">
        <v>1120</v>
      </c>
      <c r="E172" s="12" t="s">
        <v>1121</v>
      </c>
      <c r="F172" s="12" t="s">
        <v>1122</v>
      </c>
      <c r="G172" s="12" t="s">
        <v>1123</v>
      </c>
      <c r="H172" s="6" t="s">
        <v>10</v>
      </c>
      <c r="I172" s="6" t="s">
        <v>10</v>
      </c>
      <c r="J172" s="5" t="s">
        <v>1124</v>
      </c>
    </row>
    <row r="173" spans="1:10" ht="120" customHeight="1" x14ac:dyDescent="0.45">
      <c r="A173" s="3" t="s">
        <v>1125</v>
      </c>
      <c r="B173" s="5" t="s">
        <v>1126</v>
      </c>
      <c r="C173" s="12" t="s">
        <v>1127</v>
      </c>
      <c r="D173" s="12" t="s">
        <v>1128</v>
      </c>
      <c r="E173" s="12" t="s">
        <v>1129</v>
      </c>
      <c r="F173" s="12" t="s">
        <v>1130</v>
      </c>
      <c r="G173" s="12" t="s">
        <v>1131</v>
      </c>
      <c r="H173" s="12" t="s">
        <v>1132</v>
      </c>
      <c r="I173" s="6" t="s">
        <v>10</v>
      </c>
      <c r="J173" s="5" t="s">
        <v>1133</v>
      </c>
    </row>
    <row r="174" spans="1:10" ht="18" customHeight="1" x14ac:dyDescent="0.45">
      <c r="A174" s="11" t="s">
        <v>1134</v>
      </c>
    </row>
    <row r="175" spans="1:10" ht="120" customHeight="1" x14ac:dyDescent="0.45">
      <c r="A175" s="3" t="s">
        <v>1135</v>
      </c>
      <c r="B175" s="5" t="s">
        <v>1136</v>
      </c>
      <c r="C175" s="12" t="s">
        <v>1137</v>
      </c>
      <c r="D175" s="12" t="s">
        <v>1138</v>
      </c>
      <c r="E175" s="6" t="s">
        <v>1139</v>
      </c>
      <c r="F175" s="12" t="s">
        <v>1140</v>
      </c>
      <c r="G175" s="12" t="s">
        <v>1141</v>
      </c>
      <c r="H175" s="12" t="s">
        <v>1142</v>
      </c>
      <c r="I175" s="6" t="s">
        <v>1143</v>
      </c>
      <c r="J175" s="5" t="s">
        <v>1144</v>
      </c>
    </row>
    <row r="176" spans="1:10" ht="18" customHeight="1" x14ac:dyDescent="0.45">
      <c r="A176" s="11" t="s">
        <v>414</v>
      </c>
    </row>
    <row r="177" spans="1:10" ht="120" customHeight="1" x14ac:dyDescent="0.45">
      <c r="A177" s="3" t="s">
        <v>415</v>
      </c>
      <c r="B177" s="5" t="s">
        <v>1145</v>
      </c>
      <c r="C177" s="12" t="s">
        <v>506</v>
      </c>
      <c r="D177" s="12" t="s">
        <v>899</v>
      </c>
      <c r="E177" s="12" t="s">
        <v>900</v>
      </c>
      <c r="F177" s="12" t="s">
        <v>1146</v>
      </c>
      <c r="G177" s="12" t="s">
        <v>1147</v>
      </c>
      <c r="H177" s="6" t="s">
        <v>10</v>
      </c>
      <c r="I177" s="6" t="s">
        <v>10</v>
      </c>
      <c r="J177" s="5" t="s">
        <v>1148</v>
      </c>
    </row>
    <row r="179" spans="1:10" ht="30" customHeight="1" x14ac:dyDescent="0.5">
      <c r="A179" s="10" t="s">
        <v>24</v>
      </c>
      <c r="B179" s="16" t="s">
        <v>1149</v>
      </c>
      <c r="C179" s="14"/>
      <c r="D179" s="14"/>
      <c r="E179" s="14"/>
      <c r="F179" s="14"/>
      <c r="G179" s="14"/>
      <c r="H179" s="14"/>
      <c r="I179" s="14"/>
      <c r="J179" s="14"/>
    </row>
    <row r="180" spans="1:10" ht="18" customHeight="1" x14ac:dyDescent="0.45">
      <c r="A180" s="11" t="s">
        <v>1150</v>
      </c>
    </row>
    <row r="181" spans="1:10" ht="120" customHeight="1" x14ac:dyDescent="0.45">
      <c r="A181" s="3" t="s">
        <v>1151</v>
      </c>
      <c r="B181" s="5" t="s">
        <v>1152</v>
      </c>
      <c r="C181" s="12" t="s">
        <v>1153</v>
      </c>
      <c r="D181" s="12" t="s">
        <v>1154</v>
      </c>
      <c r="E181" s="12" t="s">
        <v>1155</v>
      </c>
      <c r="F181" s="12" t="s">
        <v>1156</v>
      </c>
      <c r="G181" s="12" t="s">
        <v>1157</v>
      </c>
      <c r="H181" s="6" t="s">
        <v>10</v>
      </c>
      <c r="I181" s="6" t="s">
        <v>10</v>
      </c>
      <c r="J181" s="5" t="s">
        <v>1158</v>
      </c>
    </row>
    <row r="182" spans="1:10" ht="18" customHeight="1" x14ac:dyDescent="0.45">
      <c r="A182" s="11" t="s">
        <v>1159</v>
      </c>
    </row>
    <row r="183" spans="1:10" ht="120" customHeight="1" x14ac:dyDescent="0.45">
      <c r="A183" s="3" t="s">
        <v>1160</v>
      </c>
      <c r="B183" s="5" t="s">
        <v>1161</v>
      </c>
      <c r="C183" s="12" t="s">
        <v>1162</v>
      </c>
      <c r="D183" s="12" t="s">
        <v>1163</v>
      </c>
      <c r="E183" s="6" t="s">
        <v>1164</v>
      </c>
      <c r="F183" s="12" t="s">
        <v>1165</v>
      </c>
      <c r="G183" s="12" t="s">
        <v>1166</v>
      </c>
      <c r="H183" s="12" t="s">
        <v>1167</v>
      </c>
      <c r="I183" s="12" t="s">
        <v>1168</v>
      </c>
      <c r="J183" s="5" t="s">
        <v>1169</v>
      </c>
    </row>
    <row r="184" spans="1:10" ht="120" customHeight="1" x14ac:dyDescent="0.45">
      <c r="A184" s="3" t="s">
        <v>1170</v>
      </c>
      <c r="B184" s="5" t="s">
        <v>1171</v>
      </c>
      <c r="C184" s="12" t="s">
        <v>1172</v>
      </c>
      <c r="D184" s="12" t="s">
        <v>1173</v>
      </c>
      <c r="E184" s="6" t="s">
        <v>1174</v>
      </c>
      <c r="F184" s="12" t="s">
        <v>1175</v>
      </c>
      <c r="G184" s="12" t="s">
        <v>1176</v>
      </c>
      <c r="H184" s="12" t="s">
        <v>1177</v>
      </c>
      <c r="I184" s="6" t="s">
        <v>10</v>
      </c>
      <c r="J184" s="5" t="s">
        <v>1178</v>
      </c>
    </row>
    <row r="185" spans="1:10" ht="18" customHeight="1" x14ac:dyDescent="0.45">
      <c r="A185" s="11" t="s">
        <v>1179</v>
      </c>
    </row>
    <row r="186" spans="1:10" ht="120" customHeight="1" x14ac:dyDescent="0.45">
      <c r="A186" s="3" t="s">
        <v>1180</v>
      </c>
      <c r="B186" s="5" t="s">
        <v>1181</v>
      </c>
      <c r="C186" s="12" t="s">
        <v>1182</v>
      </c>
      <c r="D186" s="12" t="s">
        <v>1183</v>
      </c>
      <c r="E186" s="6" t="s">
        <v>1184</v>
      </c>
      <c r="F186" s="12" t="s">
        <v>1185</v>
      </c>
      <c r="G186" s="12" t="s">
        <v>1186</v>
      </c>
      <c r="H186" s="6" t="s">
        <v>10</v>
      </c>
      <c r="I186" s="12" t="s">
        <v>1187</v>
      </c>
      <c r="J186" s="5" t="s">
        <v>1188</v>
      </c>
    </row>
    <row r="187" spans="1:10" ht="120" customHeight="1" x14ac:dyDescent="0.45">
      <c r="A187" s="3" t="s">
        <v>1189</v>
      </c>
      <c r="B187" s="5" t="s">
        <v>1190</v>
      </c>
      <c r="C187" s="12" t="s">
        <v>1191</v>
      </c>
      <c r="D187" s="12" t="s">
        <v>1192</v>
      </c>
      <c r="E187" s="12" t="s">
        <v>1193</v>
      </c>
      <c r="F187" s="12" t="s">
        <v>1194</v>
      </c>
      <c r="G187" s="12" t="s">
        <v>1195</v>
      </c>
      <c r="H187" s="12" t="s">
        <v>1196</v>
      </c>
      <c r="I187" s="6" t="s">
        <v>10</v>
      </c>
      <c r="J187" s="5" t="s">
        <v>1197</v>
      </c>
    </row>
    <row r="188" spans="1:10" ht="18" customHeight="1" x14ac:dyDescent="0.45">
      <c r="A188" s="11" t="s">
        <v>414</v>
      </c>
    </row>
    <row r="189" spans="1:10" ht="120" customHeight="1" x14ac:dyDescent="0.45">
      <c r="A189" s="3" t="s">
        <v>415</v>
      </c>
      <c r="B189" s="5" t="s">
        <v>1198</v>
      </c>
      <c r="C189" s="12" t="s">
        <v>506</v>
      </c>
      <c r="D189" s="12" t="s">
        <v>1199</v>
      </c>
      <c r="E189" s="12" t="s">
        <v>900</v>
      </c>
      <c r="F189" s="12" t="s">
        <v>1200</v>
      </c>
      <c r="G189" s="12" t="s">
        <v>1201</v>
      </c>
      <c r="H189" s="12" t="s">
        <v>1202</v>
      </c>
      <c r="I189" s="12" t="s">
        <v>1203</v>
      </c>
      <c r="J189" s="5" t="s">
        <v>1204</v>
      </c>
    </row>
    <row r="191" spans="1:10" ht="30" customHeight="1" x14ac:dyDescent="0.5">
      <c r="A191" s="10" t="s">
        <v>25</v>
      </c>
      <c r="B191" s="16" t="s">
        <v>1205</v>
      </c>
      <c r="C191" s="14"/>
      <c r="D191" s="14"/>
      <c r="E191" s="14"/>
      <c r="F191" s="14"/>
      <c r="G191" s="14"/>
      <c r="H191" s="14"/>
      <c r="I191" s="14"/>
      <c r="J191" s="14"/>
    </row>
    <row r="192" spans="1:10" ht="18" customHeight="1" x14ac:dyDescent="0.45">
      <c r="A192" s="11" t="s">
        <v>1206</v>
      </c>
    </row>
    <row r="193" spans="1:10" ht="120" customHeight="1" x14ac:dyDescent="0.45">
      <c r="A193" s="3" t="s">
        <v>1207</v>
      </c>
      <c r="B193" s="5" t="s">
        <v>1208</v>
      </c>
      <c r="C193" s="12" t="s">
        <v>1209</v>
      </c>
      <c r="D193" s="12" t="s">
        <v>1210</v>
      </c>
      <c r="E193" s="12" t="s">
        <v>1211</v>
      </c>
      <c r="F193" s="12" t="s">
        <v>1212</v>
      </c>
      <c r="G193" s="12" t="s">
        <v>1213</v>
      </c>
      <c r="H193" s="12" t="s">
        <v>1214</v>
      </c>
      <c r="I193" s="6" t="s">
        <v>10</v>
      </c>
      <c r="J193" s="5" t="s">
        <v>1215</v>
      </c>
    </row>
    <row r="194" spans="1:10" ht="120" customHeight="1" x14ac:dyDescent="0.45">
      <c r="A194" s="3" t="s">
        <v>1216</v>
      </c>
      <c r="B194" s="5" t="s">
        <v>1217</v>
      </c>
      <c r="C194" s="12" t="s">
        <v>1209</v>
      </c>
      <c r="D194" s="12" t="s">
        <v>1218</v>
      </c>
      <c r="E194" s="12" t="s">
        <v>1219</v>
      </c>
      <c r="F194" s="12" t="s">
        <v>1220</v>
      </c>
      <c r="G194" s="12" t="s">
        <v>1221</v>
      </c>
      <c r="H194" s="6" t="s">
        <v>10</v>
      </c>
      <c r="I194" s="6" t="s">
        <v>10</v>
      </c>
      <c r="J194" s="5" t="s">
        <v>1222</v>
      </c>
    </row>
    <row r="195" spans="1:10" ht="18" customHeight="1" x14ac:dyDescent="0.45">
      <c r="A195" s="11" t="s">
        <v>1223</v>
      </c>
    </row>
    <row r="196" spans="1:10" ht="120" customHeight="1" x14ac:dyDescent="0.45">
      <c r="A196" s="3" t="s">
        <v>1224</v>
      </c>
      <c r="B196" s="5" t="s">
        <v>1225</v>
      </c>
      <c r="C196" s="12" t="s">
        <v>1226</v>
      </c>
      <c r="D196" s="12" t="s">
        <v>1227</v>
      </c>
      <c r="E196" s="6" t="s">
        <v>1228</v>
      </c>
      <c r="F196" s="12" t="s">
        <v>1229</v>
      </c>
      <c r="G196" s="12" t="s">
        <v>1230</v>
      </c>
      <c r="H196" s="12" t="s">
        <v>1231</v>
      </c>
      <c r="I196" s="6" t="s">
        <v>10</v>
      </c>
      <c r="J196" s="5" t="s">
        <v>1232</v>
      </c>
    </row>
    <row r="197" spans="1:10" ht="18" customHeight="1" x14ac:dyDescent="0.45">
      <c r="A197" s="11" t="s">
        <v>1233</v>
      </c>
    </row>
    <row r="198" spans="1:10" ht="120" customHeight="1" x14ac:dyDescent="0.45">
      <c r="A198" s="3" t="s">
        <v>1234</v>
      </c>
      <c r="B198" s="5" t="s">
        <v>1235</v>
      </c>
      <c r="C198" s="12" t="s">
        <v>1236</v>
      </c>
      <c r="D198" s="12" t="s">
        <v>1237</v>
      </c>
      <c r="E198" s="6" t="s">
        <v>1238</v>
      </c>
      <c r="F198" s="12" t="s">
        <v>1239</v>
      </c>
      <c r="G198" s="12" t="s">
        <v>1240</v>
      </c>
      <c r="H198" s="6" t="s">
        <v>10</v>
      </c>
      <c r="I198" s="12" t="s">
        <v>1241</v>
      </c>
      <c r="J198" s="5" t="s">
        <v>1242</v>
      </c>
    </row>
    <row r="199" spans="1:10" ht="18" customHeight="1" x14ac:dyDescent="0.45">
      <c r="A199" s="11" t="s">
        <v>414</v>
      </c>
    </row>
    <row r="200" spans="1:10" ht="120" customHeight="1" x14ac:dyDescent="0.45">
      <c r="A200" s="3" t="s">
        <v>415</v>
      </c>
      <c r="B200" s="5" t="s">
        <v>1243</v>
      </c>
      <c r="C200" s="12" t="s">
        <v>506</v>
      </c>
      <c r="D200" s="12" t="s">
        <v>1244</v>
      </c>
      <c r="E200" s="12" t="s">
        <v>900</v>
      </c>
      <c r="F200" s="12" t="s">
        <v>1245</v>
      </c>
      <c r="G200" s="12" t="s">
        <v>1246</v>
      </c>
      <c r="H200" s="12" t="s">
        <v>1247</v>
      </c>
      <c r="I200" s="12" t="s">
        <v>1187</v>
      </c>
      <c r="J200" s="5" t="s">
        <v>1248</v>
      </c>
    </row>
    <row r="202" spans="1:10" ht="30" customHeight="1" x14ac:dyDescent="0.5">
      <c r="A202" s="10" t="s">
        <v>26</v>
      </c>
      <c r="B202" s="16" t="s">
        <v>1249</v>
      </c>
      <c r="C202" s="14"/>
      <c r="D202" s="14"/>
      <c r="E202" s="14"/>
      <c r="F202" s="14"/>
      <c r="G202" s="14"/>
      <c r="H202" s="14"/>
      <c r="I202" s="14"/>
      <c r="J202" s="14"/>
    </row>
    <row r="203" spans="1:10" ht="18" customHeight="1" x14ac:dyDescent="0.45">
      <c r="A203" s="11" t="s">
        <v>1250</v>
      </c>
    </row>
    <row r="204" spans="1:10" ht="120" customHeight="1" x14ac:dyDescent="0.45">
      <c r="A204" s="3" t="s">
        <v>1251</v>
      </c>
      <c r="B204" s="5" t="s">
        <v>1252</v>
      </c>
      <c r="C204" s="12" t="s">
        <v>1253</v>
      </c>
      <c r="D204" s="12" t="s">
        <v>1254</v>
      </c>
      <c r="E204" s="6" t="s">
        <v>1255</v>
      </c>
      <c r="F204" s="12" t="s">
        <v>1256</v>
      </c>
      <c r="G204" s="12" t="s">
        <v>1257</v>
      </c>
      <c r="H204" s="6" t="s">
        <v>10</v>
      </c>
      <c r="I204" s="6" t="s">
        <v>10</v>
      </c>
      <c r="J204" s="5" t="s">
        <v>1258</v>
      </c>
    </row>
    <row r="205" spans="1:10" ht="18" customHeight="1" x14ac:dyDescent="0.45">
      <c r="A205" s="11" t="s">
        <v>1259</v>
      </c>
    </row>
    <row r="206" spans="1:10" ht="120" customHeight="1" x14ac:dyDescent="0.45">
      <c r="A206" s="3" t="s">
        <v>1260</v>
      </c>
      <c r="B206" s="5" t="s">
        <v>1261</v>
      </c>
      <c r="C206" s="12" t="s">
        <v>1262</v>
      </c>
      <c r="D206" s="12" t="s">
        <v>1263</v>
      </c>
      <c r="E206" s="12" t="s">
        <v>1264</v>
      </c>
      <c r="F206" s="12" t="s">
        <v>1265</v>
      </c>
      <c r="G206" s="12" t="s">
        <v>1266</v>
      </c>
      <c r="H206" s="6" t="s">
        <v>10</v>
      </c>
      <c r="I206" s="6" t="s">
        <v>10</v>
      </c>
      <c r="J206" s="5" t="s">
        <v>1267</v>
      </c>
    </row>
    <row r="207" spans="1:10" ht="18" customHeight="1" x14ac:dyDescent="0.45">
      <c r="A207" s="11" t="s">
        <v>1268</v>
      </c>
    </row>
    <row r="208" spans="1:10" ht="120" customHeight="1" x14ac:dyDescent="0.45">
      <c r="A208" s="3" t="s">
        <v>1269</v>
      </c>
      <c r="B208" s="5" t="s">
        <v>1270</v>
      </c>
      <c r="C208" s="12" t="s">
        <v>1271</v>
      </c>
      <c r="D208" s="12" t="s">
        <v>1272</v>
      </c>
      <c r="E208" s="12" t="s">
        <v>1273</v>
      </c>
      <c r="F208" s="12" t="s">
        <v>1274</v>
      </c>
      <c r="G208" s="12" t="s">
        <v>1275</v>
      </c>
      <c r="H208" s="6" t="s">
        <v>10</v>
      </c>
      <c r="I208" s="6" t="s">
        <v>10</v>
      </c>
      <c r="J208" s="5" t="s">
        <v>1276</v>
      </c>
    </row>
    <row r="209" spans="1:10" ht="120" customHeight="1" x14ac:dyDescent="0.45">
      <c r="A209" s="3" t="s">
        <v>1277</v>
      </c>
      <c r="B209" s="5" t="s">
        <v>1278</v>
      </c>
      <c r="C209" s="12" t="s">
        <v>1279</v>
      </c>
      <c r="D209" s="12" t="s">
        <v>1280</v>
      </c>
      <c r="E209" s="12" t="s">
        <v>1281</v>
      </c>
      <c r="F209" s="12" t="s">
        <v>1282</v>
      </c>
      <c r="G209" s="12" t="s">
        <v>1283</v>
      </c>
      <c r="H209" s="12" t="s">
        <v>1284</v>
      </c>
      <c r="I209" s="12" t="s">
        <v>1285</v>
      </c>
      <c r="J209" s="5" t="s">
        <v>1286</v>
      </c>
    </row>
    <row r="210" spans="1:10" ht="18" customHeight="1" x14ac:dyDescent="0.45">
      <c r="A210" s="11" t="s">
        <v>1287</v>
      </c>
    </row>
    <row r="211" spans="1:10" ht="120" customHeight="1" x14ac:dyDescent="0.45">
      <c r="A211" s="3" t="s">
        <v>1288</v>
      </c>
      <c r="B211" s="5" t="s">
        <v>1289</v>
      </c>
      <c r="C211" s="12" t="s">
        <v>1290</v>
      </c>
      <c r="D211" s="12" t="s">
        <v>1291</v>
      </c>
      <c r="E211" s="12" t="s">
        <v>1292</v>
      </c>
      <c r="F211" s="12" t="s">
        <v>1293</v>
      </c>
      <c r="G211" s="12" t="s">
        <v>1294</v>
      </c>
      <c r="H211" s="6" t="s">
        <v>10</v>
      </c>
      <c r="I211" s="12" t="s">
        <v>1295</v>
      </c>
      <c r="J211" s="5" t="s">
        <v>1296</v>
      </c>
    </row>
    <row r="212" spans="1:10" ht="18" customHeight="1" x14ac:dyDescent="0.45">
      <c r="A212" s="11" t="s">
        <v>414</v>
      </c>
    </row>
    <row r="213" spans="1:10" ht="120" customHeight="1" x14ac:dyDescent="0.45">
      <c r="A213" s="3" t="s">
        <v>415</v>
      </c>
      <c r="B213" s="5" t="s">
        <v>1297</v>
      </c>
      <c r="C213" s="12" t="s">
        <v>506</v>
      </c>
      <c r="D213" s="12" t="s">
        <v>1298</v>
      </c>
      <c r="E213" s="12" t="s">
        <v>900</v>
      </c>
      <c r="F213" s="12" t="s">
        <v>1299</v>
      </c>
      <c r="G213" s="12" t="s">
        <v>1300</v>
      </c>
      <c r="H213" s="12" t="s">
        <v>1301</v>
      </c>
      <c r="I213" s="12" t="s">
        <v>1302</v>
      </c>
      <c r="J213" s="5" t="s">
        <v>1303</v>
      </c>
    </row>
    <row r="215" spans="1:10" ht="30" customHeight="1" x14ac:dyDescent="0.5">
      <c r="A215" s="10" t="s">
        <v>27</v>
      </c>
      <c r="B215" s="16" t="s">
        <v>1304</v>
      </c>
      <c r="C215" s="14"/>
      <c r="D215" s="14"/>
      <c r="E215" s="14"/>
      <c r="F215" s="14"/>
      <c r="G215" s="14"/>
      <c r="H215" s="14"/>
      <c r="I215" s="14"/>
      <c r="J215" s="14"/>
    </row>
    <row r="216" spans="1:10" ht="18" customHeight="1" x14ac:dyDescent="0.45">
      <c r="A216" s="11" t="s">
        <v>1305</v>
      </c>
    </row>
    <row r="217" spans="1:10" ht="120" customHeight="1" x14ac:dyDescent="0.45">
      <c r="A217" s="3" t="s">
        <v>1306</v>
      </c>
      <c r="B217" s="5" t="s">
        <v>1307</v>
      </c>
      <c r="C217" s="12" t="s">
        <v>1308</v>
      </c>
      <c r="D217" s="12" t="s">
        <v>1309</v>
      </c>
      <c r="E217" s="12" t="s">
        <v>1310</v>
      </c>
      <c r="F217" s="12" t="s">
        <v>1311</v>
      </c>
      <c r="G217" s="12" t="s">
        <v>1312</v>
      </c>
      <c r="H217" s="12" t="s">
        <v>1313</v>
      </c>
      <c r="I217" s="6" t="s">
        <v>10</v>
      </c>
      <c r="J217" s="5" t="s">
        <v>1314</v>
      </c>
    </row>
    <row r="218" spans="1:10" ht="18" customHeight="1" x14ac:dyDescent="0.45">
      <c r="A218" s="11" t="s">
        <v>1315</v>
      </c>
    </row>
    <row r="219" spans="1:10" ht="120" customHeight="1" x14ac:dyDescent="0.45">
      <c r="A219" s="3" t="s">
        <v>1316</v>
      </c>
      <c r="B219" s="5" t="s">
        <v>1317</v>
      </c>
      <c r="C219" s="12" t="s">
        <v>1318</v>
      </c>
      <c r="D219" s="12" t="s">
        <v>1319</v>
      </c>
      <c r="E219" s="6" t="s">
        <v>1320</v>
      </c>
      <c r="F219" s="12" t="s">
        <v>1321</v>
      </c>
      <c r="G219" s="12" t="s">
        <v>1322</v>
      </c>
      <c r="H219" s="6" t="s">
        <v>10</v>
      </c>
      <c r="I219" s="6" t="s">
        <v>10</v>
      </c>
      <c r="J219" s="5" t="s">
        <v>1323</v>
      </c>
    </row>
    <row r="220" spans="1:10" ht="18" customHeight="1" x14ac:dyDescent="0.45">
      <c r="A220" s="11" t="s">
        <v>1324</v>
      </c>
    </row>
    <row r="221" spans="1:10" ht="120" customHeight="1" x14ac:dyDescent="0.45">
      <c r="A221" s="3" t="s">
        <v>1325</v>
      </c>
      <c r="B221" s="5" t="s">
        <v>1326</v>
      </c>
      <c r="C221" s="12" t="s">
        <v>1327</v>
      </c>
      <c r="D221" s="12" t="s">
        <v>1328</v>
      </c>
      <c r="E221" s="12" t="s">
        <v>1329</v>
      </c>
      <c r="F221" s="12" t="s">
        <v>1330</v>
      </c>
      <c r="G221" s="12" t="s">
        <v>1331</v>
      </c>
      <c r="H221" s="12" t="s">
        <v>1332</v>
      </c>
      <c r="I221" s="6" t="s">
        <v>10</v>
      </c>
      <c r="J221" s="5" t="s">
        <v>1333</v>
      </c>
    </row>
    <row r="222" spans="1:10" ht="18" customHeight="1" x14ac:dyDescent="0.45">
      <c r="A222" s="11" t="s">
        <v>1334</v>
      </c>
    </row>
    <row r="223" spans="1:10" ht="120" customHeight="1" x14ac:dyDescent="0.45">
      <c r="A223" s="3" t="s">
        <v>1335</v>
      </c>
      <c r="B223" s="5" t="s">
        <v>1336</v>
      </c>
      <c r="C223" s="12" t="s">
        <v>1337</v>
      </c>
      <c r="D223" s="12" t="s">
        <v>1338</v>
      </c>
      <c r="E223" s="12" t="s">
        <v>1339</v>
      </c>
      <c r="F223" s="12" t="s">
        <v>1340</v>
      </c>
      <c r="G223" s="12" t="s">
        <v>1341</v>
      </c>
      <c r="H223" s="6" t="s">
        <v>10</v>
      </c>
      <c r="I223" s="12" t="s">
        <v>1342</v>
      </c>
      <c r="J223" s="5" t="s">
        <v>1343</v>
      </c>
    </row>
    <row r="224" spans="1:10" ht="18" customHeight="1" x14ac:dyDescent="0.45">
      <c r="A224" s="11" t="s">
        <v>414</v>
      </c>
    </row>
    <row r="225" spans="1:10" ht="120" customHeight="1" x14ac:dyDescent="0.45">
      <c r="A225" s="3" t="s">
        <v>415</v>
      </c>
      <c r="B225" s="5" t="s">
        <v>1344</v>
      </c>
      <c r="C225" s="12" t="s">
        <v>506</v>
      </c>
      <c r="D225" s="12" t="s">
        <v>1345</v>
      </c>
      <c r="E225" s="12" t="s">
        <v>1346</v>
      </c>
      <c r="F225" s="12" t="s">
        <v>1347</v>
      </c>
      <c r="G225" s="12" t="s">
        <v>1348</v>
      </c>
      <c r="H225" s="12" t="s">
        <v>1349</v>
      </c>
      <c r="I225" s="12" t="s">
        <v>1187</v>
      </c>
      <c r="J225" s="5" t="s">
        <v>1350</v>
      </c>
    </row>
    <row r="227" spans="1:10" ht="30" customHeight="1" x14ac:dyDescent="0.5">
      <c r="A227" s="10" t="s">
        <v>28</v>
      </c>
      <c r="B227" s="16" t="s">
        <v>1351</v>
      </c>
      <c r="C227" s="14"/>
      <c r="D227" s="14"/>
      <c r="E227" s="14"/>
      <c r="F227" s="14"/>
      <c r="G227" s="14"/>
      <c r="H227" s="14"/>
      <c r="I227" s="14"/>
      <c r="J227" s="14"/>
    </row>
    <row r="228" spans="1:10" ht="18" customHeight="1" x14ac:dyDescent="0.45">
      <c r="A228" s="11" t="s">
        <v>570</v>
      </c>
    </row>
    <row r="229" spans="1:10" ht="120" customHeight="1" x14ac:dyDescent="0.45">
      <c r="A229" s="3" t="s">
        <v>1352</v>
      </c>
      <c r="B229" s="5" t="s">
        <v>1353</v>
      </c>
      <c r="C229" s="12" t="s">
        <v>1354</v>
      </c>
      <c r="D229" s="12" t="s">
        <v>1355</v>
      </c>
      <c r="E229" s="12" t="s">
        <v>1356</v>
      </c>
      <c r="F229" s="12" t="s">
        <v>1357</v>
      </c>
      <c r="G229" s="12" t="s">
        <v>1358</v>
      </c>
      <c r="H229" s="6" t="s">
        <v>10</v>
      </c>
      <c r="I229" s="6" t="s">
        <v>10</v>
      </c>
      <c r="J229" s="5" t="s">
        <v>1359</v>
      </c>
    </row>
    <row r="230" spans="1:10" ht="18" customHeight="1" x14ac:dyDescent="0.45">
      <c r="A230" s="11" t="s">
        <v>1360</v>
      </c>
    </row>
    <row r="231" spans="1:10" ht="120" customHeight="1" x14ac:dyDescent="0.45">
      <c r="A231" s="3" t="s">
        <v>1361</v>
      </c>
      <c r="B231" s="5" t="s">
        <v>1362</v>
      </c>
      <c r="C231" s="12" t="s">
        <v>1363</v>
      </c>
      <c r="D231" s="12" t="s">
        <v>1364</v>
      </c>
      <c r="E231" s="12" t="s">
        <v>1365</v>
      </c>
      <c r="F231" s="12" t="s">
        <v>1366</v>
      </c>
      <c r="G231" s="12" t="s">
        <v>1367</v>
      </c>
      <c r="H231" s="12" t="s">
        <v>1368</v>
      </c>
      <c r="I231" s="12" t="s">
        <v>1369</v>
      </c>
      <c r="J231" s="5" t="s">
        <v>1370</v>
      </c>
    </row>
    <row r="232" spans="1:10" ht="120" customHeight="1" x14ac:dyDescent="0.45">
      <c r="A232" s="3" t="s">
        <v>1371</v>
      </c>
      <c r="B232" s="5" t="s">
        <v>1372</v>
      </c>
      <c r="C232" s="12" t="s">
        <v>506</v>
      </c>
      <c r="D232" s="12" t="s">
        <v>1373</v>
      </c>
      <c r="E232" s="12" t="s">
        <v>1374</v>
      </c>
      <c r="F232" s="12" t="s">
        <v>1375</v>
      </c>
      <c r="G232" s="12" t="s">
        <v>1376</v>
      </c>
      <c r="H232" s="6" t="s">
        <v>10</v>
      </c>
      <c r="I232" s="12" t="s">
        <v>1377</v>
      </c>
      <c r="J232" s="5" t="s">
        <v>1378</v>
      </c>
    </row>
    <row r="233" spans="1:10" ht="18" customHeight="1" x14ac:dyDescent="0.45">
      <c r="A233" s="11" t="s">
        <v>414</v>
      </c>
    </row>
    <row r="234" spans="1:10" ht="120" customHeight="1" x14ac:dyDescent="0.45">
      <c r="A234" s="3" t="s">
        <v>415</v>
      </c>
      <c r="B234" s="5" t="s">
        <v>1379</v>
      </c>
      <c r="C234" s="12" t="s">
        <v>506</v>
      </c>
      <c r="D234" s="12" t="s">
        <v>1380</v>
      </c>
      <c r="E234" s="12" t="s">
        <v>900</v>
      </c>
      <c r="F234" s="12" t="s">
        <v>1381</v>
      </c>
      <c r="G234" s="12" t="s">
        <v>1382</v>
      </c>
      <c r="H234" s="12" t="s">
        <v>1383</v>
      </c>
      <c r="I234" s="6" t="s">
        <v>10</v>
      </c>
      <c r="J234" s="5" t="s">
        <v>1384</v>
      </c>
    </row>
    <row r="236" spans="1:10" ht="30" customHeight="1" x14ac:dyDescent="0.5">
      <c r="A236" s="10" t="s">
        <v>29</v>
      </c>
      <c r="B236" s="16" t="s">
        <v>1385</v>
      </c>
      <c r="C236" s="14"/>
      <c r="D236" s="14"/>
      <c r="E236" s="14"/>
      <c r="F236" s="14"/>
      <c r="G236" s="14"/>
      <c r="H236" s="14"/>
      <c r="I236" s="14"/>
      <c r="J236" s="14"/>
    </row>
    <row r="237" spans="1:10" ht="18" customHeight="1" x14ac:dyDescent="0.45">
      <c r="A237" s="11" t="s">
        <v>1386</v>
      </c>
    </row>
    <row r="238" spans="1:10" ht="120" customHeight="1" x14ac:dyDescent="0.45">
      <c r="A238" s="3" t="s">
        <v>1387</v>
      </c>
      <c r="B238" s="5" t="s">
        <v>1388</v>
      </c>
      <c r="C238" s="12" t="s">
        <v>1389</v>
      </c>
      <c r="D238" s="12" t="s">
        <v>1390</v>
      </c>
      <c r="E238" s="12" t="s">
        <v>1391</v>
      </c>
      <c r="F238" s="12" t="s">
        <v>1392</v>
      </c>
      <c r="G238" s="12" t="s">
        <v>1393</v>
      </c>
      <c r="H238" s="12" t="s">
        <v>1394</v>
      </c>
      <c r="I238" s="12" t="s">
        <v>1395</v>
      </c>
      <c r="J238" s="5" t="s">
        <v>1396</v>
      </c>
    </row>
    <row r="239" spans="1:10" ht="18" customHeight="1" x14ac:dyDescent="0.45">
      <c r="A239" s="11" t="s">
        <v>1397</v>
      </c>
    </row>
    <row r="240" spans="1:10" ht="120" customHeight="1" x14ac:dyDescent="0.45">
      <c r="A240" s="3" t="s">
        <v>1398</v>
      </c>
      <c r="B240" s="5" t="s">
        <v>1399</v>
      </c>
      <c r="C240" s="12" t="s">
        <v>1400</v>
      </c>
      <c r="D240" s="12" t="s">
        <v>1401</v>
      </c>
      <c r="E240" s="12" t="s">
        <v>1402</v>
      </c>
      <c r="F240" s="12" t="s">
        <v>1403</v>
      </c>
      <c r="G240" s="12" t="s">
        <v>1404</v>
      </c>
      <c r="H240" s="12" t="s">
        <v>1405</v>
      </c>
      <c r="I240" s="6" t="s">
        <v>10</v>
      </c>
      <c r="J240" s="5" t="s">
        <v>1406</v>
      </c>
    </row>
    <row r="241" spans="1:10" ht="120" customHeight="1" x14ac:dyDescent="0.45">
      <c r="A241" s="3" t="s">
        <v>1407</v>
      </c>
      <c r="B241" s="5" t="s">
        <v>1408</v>
      </c>
      <c r="C241" s="12" t="s">
        <v>1409</v>
      </c>
      <c r="D241" s="12" t="s">
        <v>1410</v>
      </c>
      <c r="E241" s="6" t="s">
        <v>1411</v>
      </c>
      <c r="F241" s="12" t="s">
        <v>1412</v>
      </c>
      <c r="G241" s="12" t="s">
        <v>1413</v>
      </c>
      <c r="H241" s="12" t="s">
        <v>1414</v>
      </c>
      <c r="I241" s="12" t="s">
        <v>1187</v>
      </c>
      <c r="J241" s="5" t="s">
        <v>1415</v>
      </c>
    </row>
    <row r="242" spans="1:10" ht="18" customHeight="1" x14ac:dyDescent="0.45">
      <c r="A242" s="11" t="s">
        <v>1416</v>
      </c>
    </row>
    <row r="243" spans="1:10" ht="120" customHeight="1" x14ac:dyDescent="0.45">
      <c r="A243" s="3" t="s">
        <v>1417</v>
      </c>
      <c r="B243" s="5" t="s">
        <v>1418</v>
      </c>
      <c r="C243" s="12" t="s">
        <v>1419</v>
      </c>
      <c r="D243" s="12" t="s">
        <v>1420</v>
      </c>
      <c r="E243" s="12" t="s">
        <v>1421</v>
      </c>
      <c r="F243" s="12" t="s">
        <v>1422</v>
      </c>
      <c r="G243" s="12" t="s">
        <v>1423</v>
      </c>
      <c r="H243" s="12" t="s">
        <v>1424</v>
      </c>
      <c r="I243" s="12" t="s">
        <v>1425</v>
      </c>
      <c r="J243" s="5" t="s">
        <v>1426</v>
      </c>
    </row>
    <row r="244" spans="1:10" ht="18" customHeight="1" x14ac:dyDescent="0.45">
      <c r="A244" s="11" t="s">
        <v>1427</v>
      </c>
    </row>
    <row r="245" spans="1:10" ht="120" customHeight="1" x14ac:dyDescent="0.45">
      <c r="A245" s="3" t="s">
        <v>1428</v>
      </c>
      <c r="B245" s="5" t="s">
        <v>1429</v>
      </c>
      <c r="C245" s="12" t="s">
        <v>1430</v>
      </c>
      <c r="D245" s="12" t="s">
        <v>1431</v>
      </c>
      <c r="E245" s="12" t="s">
        <v>1432</v>
      </c>
      <c r="F245" s="12" t="s">
        <v>1433</v>
      </c>
      <c r="G245" s="12" t="s">
        <v>1434</v>
      </c>
      <c r="H245" s="12" t="s">
        <v>1435</v>
      </c>
      <c r="I245" s="12" t="s">
        <v>1436</v>
      </c>
      <c r="J245" s="5" t="s">
        <v>1437</v>
      </c>
    </row>
    <row r="246" spans="1:10" ht="18" customHeight="1" x14ac:dyDescent="0.45">
      <c r="A246" s="11" t="s">
        <v>1438</v>
      </c>
    </row>
    <row r="247" spans="1:10" ht="120" customHeight="1" x14ac:dyDescent="0.45">
      <c r="A247" s="3" t="s">
        <v>1439</v>
      </c>
      <c r="B247" s="5" t="s">
        <v>1440</v>
      </c>
      <c r="C247" s="12" t="s">
        <v>1441</v>
      </c>
      <c r="D247" s="12" t="s">
        <v>1442</v>
      </c>
      <c r="E247" s="12" t="s">
        <v>1443</v>
      </c>
      <c r="F247" s="12" t="s">
        <v>1444</v>
      </c>
      <c r="G247" s="12" t="s">
        <v>1445</v>
      </c>
      <c r="H247" s="12" t="s">
        <v>1446</v>
      </c>
      <c r="I247" s="6" t="s">
        <v>10</v>
      </c>
      <c r="J247" s="5" t="s">
        <v>1447</v>
      </c>
    </row>
    <row r="248" spans="1:10" ht="18" customHeight="1" x14ac:dyDescent="0.45">
      <c r="A248" s="11" t="s">
        <v>1448</v>
      </c>
    </row>
    <row r="249" spans="1:10" ht="120" customHeight="1" x14ac:dyDescent="0.45">
      <c r="A249" s="3" t="s">
        <v>1449</v>
      </c>
      <c r="B249" s="5" t="s">
        <v>1450</v>
      </c>
      <c r="C249" s="12" t="s">
        <v>1451</v>
      </c>
      <c r="D249" s="12" t="s">
        <v>1452</v>
      </c>
      <c r="E249" s="12" t="s">
        <v>1453</v>
      </c>
      <c r="F249" s="12" t="s">
        <v>1454</v>
      </c>
      <c r="G249" s="12" t="s">
        <v>1455</v>
      </c>
      <c r="H249" s="12" t="s">
        <v>1456</v>
      </c>
      <c r="I249" s="6" t="s">
        <v>10</v>
      </c>
      <c r="J249" s="5" t="s">
        <v>1457</v>
      </c>
    </row>
    <row r="250" spans="1:10" ht="18" customHeight="1" x14ac:dyDescent="0.45">
      <c r="A250" s="11" t="s">
        <v>414</v>
      </c>
    </row>
    <row r="251" spans="1:10" ht="120" customHeight="1" x14ac:dyDescent="0.45">
      <c r="A251" s="3" t="s">
        <v>415</v>
      </c>
      <c r="B251" s="5" t="s">
        <v>1458</v>
      </c>
      <c r="C251" s="12" t="s">
        <v>1459</v>
      </c>
      <c r="D251" s="12" t="s">
        <v>1460</v>
      </c>
      <c r="E251" s="12" t="s">
        <v>900</v>
      </c>
      <c r="F251" s="12" t="s">
        <v>1461</v>
      </c>
      <c r="G251" s="12" t="s">
        <v>1462</v>
      </c>
      <c r="H251" s="12" t="s">
        <v>1463</v>
      </c>
      <c r="I251" s="12" t="s">
        <v>1464</v>
      </c>
      <c r="J251" s="5" t="s">
        <v>1465</v>
      </c>
    </row>
    <row r="253" spans="1:10" ht="30" customHeight="1" x14ac:dyDescent="0.5">
      <c r="A253" s="10" t="s">
        <v>30</v>
      </c>
      <c r="B253" s="16" t="s">
        <v>1466</v>
      </c>
      <c r="C253" s="14"/>
      <c r="D253" s="14"/>
      <c r="E253" s="14"/>
      <c r="F253" s="14"/>
      <c r="G253" s="14"/>
      <c r="H253" s="14"/>
      <c r="I253" s="14"/>
      <c r="J253" s="14"/>
    </row>
    <row r="254" spans="1:10" ht="18" customHeight="1" x14ac:dyDescent="0.45">
      <c r="A254" s="11" t="s">
        <v>1467</v>
      </c>
    </row>
    <row r="255" spans="1:10" ht="120" customHeight="1" x14ac:dyDescent="0.45">
      <c r="A255" s="3" t="s">
        <v>1468</v>
      </c>
      <c r="B255" s="5" t="s">
        <v>1469</v>
      </c>
      <c r="C255" s="12" t="s">
        <v>1470</v>
      </c>
      <c r="D255" s="12" t="s">
        <v>1471</v>
      </c>
      <c r="E255" s="12" t="s">
        <v>1472</v>
      </c>
      <c r="F255" s="12" t="s">
        <v>1473</v>
      </c>
      <c r="G255" s="12" t="s">
        <v>1474</v>
      </c>
      <c r="H255" s="6" t="s">
        <v>10</v>
      </c>
      <c r="I255" s="6" t="s">
        <v>10</v>
      </c>
      <c r="J255" s="5" t="s">
        <v>1475</v>
      </c>
    </row>
    <row r="256" spans="1:10" ht="18" customHeight="1" x14ac:dyDescent="0.45">
      <c r="A256" s="11" t="s">
        <v>1476</v>
      </c>
    </row>
    <row r="257" spans="1:10" ht="120" customHeight="1" x14ac:dyDescent="0.45">
      <c r="A257" s="3" t="s">
        <v>1477</v>
      </c>
      <c r="B257" s="5" t="s">
        <v>1478</v>
      </c>
      <c r="C257" s="12" t="s">
        <v>1479</v>
      </c>
      <c r="D257" s="12" t="s">
        <v>1480</v>
      </c>
      <c r="E257" s="12" t="s">
        <v>1481</v>
      </c>
      <c r="F257" s="12" t="s">
        <v>1482</v>
      </c>
      <c r="G257" s="12" t="s">
        <v>1483</v>
      </c>
      <c r="H257" s="6" t="s">
        <v>10</v>
      </c>
      <c r="I257" s="6" t="s">
        <v>10</v>
      </c>
      <c r="J257" s="5" t="s">
        <v>1484</v>
      </c>
    </row>
    <row r="258" spans="1:10" ht="18" customHeight="1" x14ac:dyDescent="0.45">
      <c r="A258" s="11" t="s">
        <v>1485</v>
      </c>
    </row>
    <row r="259" spans="1:10" ht="120" customHeight="1" x14ac:dyDescent="0.45">
      <c r="A259" s="3" t="s">
        <v>1486</v>
      </c>
      <c r="B259" s="5" t="s">
        <v>1487</v>
      </c>
      <c r="C259" s="12" t="s">
        <v>1488</v>
      </c>
      <c r="D259" s="12" t="s">
        <v>1489</v>
      </c>
      <c r="E259" s="6" t="s">
        <v>1490</v>
      </c>
      <c r="F259" s="12" t="s">
        <v>1491</v>
      </c>
      <c r="G259" s="12" t="s">
        <v>1492</v>
      </c>
      <c r="H259" s="6" t="s">
        <v>10</v>
      </c>
      <c r="I259" s="6" t="s">
        <v>10</v>
      </c>
      <c r="J259" s="5" t="s">
        <v>1493</v>
      </c>
    </row>
    <row r="260" spans="1:10" ht="120" customHeight="1" x14ac:dyDescent="0.45">
      <c r="A260" s="3" t="s">
        <v>1494</v>
      </c>
      <c r="B260" s="5" t="s">
        <v>1495</v>
      </c>
      <c r="C260" s="12" t="s">
        <v>1496</v>
      </c>
      <c r="D260" s="12" t="s">
        <v>1497</v>
      </c>
      <c r="E260" s="12" t="s">
        <v>1498</v>
      </c>
      <c r="F260" s="12" t="s">
        <v>1499</v>
      </c>
      <c r="G260" s="12" t="s">
        <v>1500</v>
      </c>
      <c r="H260" s="12" t="s">
        <v>1501</v>
      </c>
      <c r="I260" s="12" t="s">
        <v>1502</v>
      </c>
      <c r="J260" s="5" t="s">
        <v>1503</v>
      </c>
    </row>
    <row r="261" spans="1:10" ht="18" customHeight="1" x14ac:dyDescent="0.45">
      <c r="A261" s="11" t="s">
        <v>1504</v>
      </c>
    </row>
    <row r="262" spans="1:10" ht="120" customHeight="1" x14ac:dyDescent="0.45">
      <c r="A262" s="3" t="s">
        <v>1505</v>
      </c>
      <c r="B262" s="5" t="s">
        <v>1506</v>
      </c>
      <c r="C262" s="12" t="s">
        <v>1507</v>
      </c>
      <c r="D262" s="12" t="s">
        <v>1508</v>
      </c>
      <c r="E262" s="6" t="s">
        <v>1509</v>
      </c>
      <c r="F262" s="12" t="s">
        <v>1510</v>
      </c>
      <c r="G262" s="12" t="s">
        <v>1511</v>
      </c>
      <c r="H262" s="6" t="s">
        <v>10</v>
      </c>
      <c r="I262" s="6" t="s">
        <v>10</v>
      </c>
      <c r="J262" s="5" t="s">
        <v>1512</v>
      </c>
    </row>
    <row r="263" spans="1:10" ht="18" customHeight="1" x14ac:dyDescent="0.45">
      <c r="A263" s="11" t="s">
        <v>414</v>
      </c>
    </row>
    <row r="264" spans="1:10" ht="120" customHeight="1" x14ac:dyDescent="0.45">
      <c r="A264" s="3" t="s">
        <v>415</v>
      </c>
      <c r="B264" s="5" t="s">
        <v>1513</v>
      </c>
      <c r="C264" s="12" t="s">
        <v>1514</v>
      </c>
      <c r="D264" s="12" t="s">
        <v>1380</v>
      </c>
      <c r="E264" s="12" t="s">
        <v>900</v>
      </c>
      <c r="F264" s="12" t="s">
        <v>1515</v>
      </c>
      <c r="G264" s="12" t="s">
        <v>1516</v>
      </c>
      <c r="H264" s="12" t="s">
        <v>1517</v>
      </c>
      <c r="I264" s="12" t="s">
        <v>1518</v>
      </c>
      <c r="J264" s="5" t="s">
        <v>1519</v>
      </c>
    </row>
    <row r="266" spans="1:10" ht="30" customHeight="1" x14ac:dyDescent="0.5">
      <c r="A266" s="10" t="s">
        <v>31</v>
      </c>
      <c r="B266" s="16" t="s">
        <v>1520</v>
      </c>
      <c r="C266" s="14"/>
      <c r="D266" s="14"/>
      <c r="E266" s="14"/>
      <c r="F266" s="14"/>
      <c r="G266" s="14"/>
      <c r="H266" s="14"/>
      <c r="I266" s="14"/>
      <c r="J266" s="14"/>
    </row>
    <row r="267" spans="1:10" ht="18" customHeight="1" x14ac:dyDescent="0.45">
      <c r="A267" s="11" t="s">
        <v>1521</v>
      </c>
    </row>
    <row r="268" spans="1:10" ht="120" customHeight="1" x14ac:dyDescent="0.45">
      <c r="A268" s="3" t="s">
        <v>1522</v>
      </c>
      <c r="B268" s="5" t="s">
        <v>1523</v>
      </c>
      <c r="C268" s="12" t="s">
        <v>1524</v>
      </c>
      <c r="D268" s="12" t="s">
        <v>1525</v>
      </c>
      <c r="E268" s="12" t="s">
        <v>1526</v>
      </c>
      <c r="F268" s="12" t="s">
        <v>1527</v>
      </c>
      <c r="G268" s="12" t="s">
        <v>1528</v>
      </c>
      <c r="H268" s="12" t="s">
        <v>1529</v>
      </c>
      <c r="I268" s="6" t="s">
        <v>10</v>
      </c>
      <c r="J268" s="5" t="s">
        <v>1530</v>
      </c>
    </row>
    <row r="269" spans="1:10" ht="120" customHeight="1" x14ac:dyDescent="0.45">
      <c r="A269" s="3" t="s">
        <v>1531</v>
      </c>
      <c r="B269" s="5" t="s">
        <v>1532</v>
      </c>
      <c r="C269" s="12" t="s">
        <v>1533</v>
      </c>
      <c r="D269" s="12" t="s">
        <v>1534</v>
      </c>
      <c r="E269" s="12" t="s">
        <v>1535</v>
      </c>
      <c r="F269" s="12" t="s">
        <v>1536</v>
      </c>
      <c r="G269" s="12" t="s">
        <v>1537</v>
      </c>
      <c r="H269" s="6" t="s">
        <v>10</v>
      </c>
      <c r="I269" s="6" t="s">
        <v>10</v>
      </c>
      <c r="J269" s="5" t="s">
        <v>1538</v>
      </c>
    </row>
    <row r="270" spans="1:10" ht="18" customHeight="1" x14ac:dyDescent="0.45">
      <c r="A270" s="11" t="s">
        <v>1539</v>
      </c>
    </row>
    <row r="271" spans="1:10" ht="120" customHeight="1" x14ac:dyDescent="0.45">
      <c r="A271" s="3" t="s">
        <v>1540</v>
      </c>
      <c r="B271" s="5" t="s">
        <v>1541</v>
      </c>
      <c r="C271" s="12" t="s">
        <v>1542</v>
      </c>
      <c r="D271" s="12" t="s">
        <v>1543</v>
      </c>
      <c r="E271" s="12" t="s">
        <v>1544</v>
      </c>
      <c r="F271" s="12" t="s">
        <v>1545</v>
      </c>
      <c r="G271" s="12" t="s">
        <v>1546</v>
      </c>
      <c r="H271" s="12" t="s">
        <v>1547</v>
      </c>
      <c r="I271" s="12" t="s">
        <v>1548</v>
      </c>
      <c r="J271" s="5" t="s">
        <v>1549</v>
      </c>
    </row>
    <row r="273" spans="1:10" ht="30" customHeight="1" x14ac:dyDescent="0.5">
      <c r="A273" s="10" t="s">
        <v>32</v>
      </c>
      <c r="B273" s="16" t="s">
        <v>1550</v>
      </c>
      <c r="C273" s="14"/>
      <c r="D273" s="14"/>
      <c r="E273" s="14"/>
      <c r="F273" s="14"/>
      <c r="G273" s="14"/>
      <c r="H273" s="14"/>
      <c r="I273" s="14"/>
      <c r="J273" s="14"/>
    </row>
    <row r="274" spans="1:10" ht="18" customHeight="1" x14ac:dyDescent="0.45">
      <c r="A274" s="11" t="s">
        <v>1551</v>
      </c>
    </row>
    <row r="275" spans="1:10" ht="120" customHeight="1" x14ac:dyDescent="0.45">
      <c r="A275" s="3" t="s">
        <v>1552</v>
      </c>
      <c r="B275" s="5" t="s">
        <v>1553</v>
      </c>
      <c r="C275" s="12" t="s">
        <v>1554</v>
      </c>
      <c r="D275" s="12" t="s">
        <v>1555</v>
      </c>
      <c r="E275" s="12" t="s">
        <v>1556</v>
      </c>
      <c r="F275" s="12" t="s">
        <v>1557</v>
      </c>
      <c r="G275" s="12" t="s">
        <v>1558</v>
      </c>
      <c r="H275" s="12" t="s">
        <v>1559</v>
      </c>
      <c r="I275" s="12" t="s">
        <v>1548</v>
      </c>
      <c r="J275" s="5" t="s">
        <v>1560</v>
      </c>
    </row>
    <row r="276" spans="1:10" ht="18" customHeight="1" x14ac:dyDescent="0.45">
      <c r="A276" s="11" t="s">
        <v>1561</v>
      </c>
    </row>
    <row r="277" spans="1:10" ht="120" customHeight="1" x14ac:dyDescent="0.45">
      <c r="A277" s="3" t="s">
        <v>1562</v>
      </c>
      <c r="B277" s="5" t="s">
        <v>1563</v>
      </c>
      <c r="C277" s="12" t="s">
        <v>1554</v>
      </c>
      <c r="D277" s="12" t="s">
        <v>1564</v>
      </c>
      <c r="E277" s="12" t="s">
        <v>1565</v>
      </c>
      <c r="F277" s="12" t="s">
        <v>1566</v>
      </c>
      <c r="G277" s="12" t="s">
        <v>1567</v>
      </c>
      <c r="H277" s="12" t="s">
        <v>1568</v>
      </c>
      <c r="I277" s="12" t="s">
        <v>1569</v>
      </c>
      <c r="J277" s="5" t="s">
        <v>1570</v>
      </c>
    </row>
  </sheetData>
  <mergeCells count="25">
    <mergeCell ref="B273:J273"/>
    <mergeCell ref="A2:J2"/>
    <mergeCell ref="B167:J167"/>
    <mergeCell ref="B48:J48"/>
    <mergeCell ref="B266:J266"/>
    <mergeCell ref="B5:J5"/>
    <mergeCell ref="B227:J227"/>
    <mergeCell ref="B202:J202"/>
    <mergeCell ref="B22:J22"/>
    <mergeCell ref="B236:J236"/>
    <mergeCell ref="B215:J215"/>
    <mergeCell ref="B38:J38"/>
    <mergeCell ref="B191:J191"/>
    <mergeCell ref="B99:J99"/>
    <mergeCell ref="B108:J108"/>
    <mergeCell ref="B127:J127"/>
    <mergeCell ref="B118:J118"/>
    <mergeCell ref="B158:J158"/>
    <mergeCell ref="B253:J253"/>
    <mergeCell ref="B136:J136"/>
    <mergeCell ref="B61:J61"/>
    <mergeCell ref="B179:J179"/>
    <mergeCell ref="B88:J88"/>
    <mergeCell ref="B148:J148"/>
    <mergeCell ref="B73:J7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Processes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Darren Robinson</cp:lastModifiedBy>
  <dcterms:created xsi:type="dcterms:W3CDTF">2026-08-27T04:34:02Z</dcterms:created>
  <dcterms:modified xsi:type="dcterms:W3CDTF">2026-08-27T05:01:43Z</dcterms:modified>
</cp:coreProperties>
</file>